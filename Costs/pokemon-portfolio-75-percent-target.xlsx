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6f8735796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Review" sheetId="1" r:id="R4da48cecf3dc4ea1"/>
    <x:sheet xmlns:r="http://schemas.openxmlformats.org/officeDocument/2006/relationships" name="Summary" sheetId="2" r:id="R66151d7f0dd346d5"/>
    <x:sheet xmlns:r="http://schemas.openxmlformats.org/officeDocument/2006/relationships" name="Target Cost Checker" sheetId="3" r:id="R85766b2809a14871"/>
    <x:sheet xmlns:r="http://schemas.openxmlformats.org/officeDocument/2006/relationships" name="eBay Search Library" sheetId="4" r:id="R51c3fcf7f0bc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£0.00"/>
    <x:numFmt numFmtId="201" formatCode="0"/>
    <x:numFmt numFmtId="202" formatCode="0.0%"/>
    <x:numFmt numFmtId="203" formatCode="£0.00;[Red](£0.00);-"/>
    <x:numFmt numFmtId="204" formatCode="@"/>
    <x:numFmt numFmtId="205" formatCode="0%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color rgb="FF1F1F1F"/>
      <x:name val="Carlito"/>
    </x:font>
    <x:font>
      <x:sz val="11"/>
      <x:color rgb="FF0000FF"/>
      <x:name val="Carlito"/>
    </x:font>
    <x:font>
      <x:i/>
      <x:sz val="11"/>
      <x:name val="Carlito"/>
    </x:font>
    <x:font>
      <x:b/>
      <x:sz val="12"/>
      <x:name val="Carlito"/>
    </x:font>
    <x:font>
      <x:b/>
      <x:sz val="12"/>
      <x:color rgb="FF0000FF"/>
      <x:name val="Carlito"/>
    </x:font>
    <x:font>
      <x:b/>
      <x:sz val="11"/>
      <x:color rgb="FF0563C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  <x:fill>
      <x:patternFill patternType="solid">
        <x:fgColor rgb="FFB4C6E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203864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0" fontId="0" fillId="0" borderId="5" xfId="0" applyNumberFormat="1" applyFont="1" applyFill="1" applyBorder="1"/>
    <x:xf numFmtId="202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203" fontId="5" fillId="10" borderId="0" xfId="0" applyNumberFormat="1" applyFont="1" applyFill="1" applyBorder="1"/>
    <x:xf numFmtId="204" fontId="5" fillId="10" borderId="0" xfId="0" applyNumberFormat="1" applyFont="1" applyFill="1" applyBorder="1"/>
    <x:xf numFmtId="205" fontId="5" fillId="1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/>
    </x:xf>
    <x:xf numFmtId="0" fontId="3" fillId="9" borderId="3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/>
    <x:xf numFmtId="203" fontId="5" fillId="10" borderId="5" xfId="0" applyNumberFormat="1" applyFont="1" applyFill="1" applyBorder="1"/>
    <x:xf numFmtId="0" fontId="3" fillId="0" borderId="6" xfId="0" applyNumberFormat="1" applyFont="1" applyFill="1" applyBorder="1"/>
    <x:xf numFmtId="204" fontId="5" fillId="10" borderId="7" xfId="0" applyNumberFormat="1" applyFont="1" applyFill="1" applyBorder="1"/>
    <x:xf numFmtId="0" fontId="3" fillId="9" borderId="8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5" fontId="5" fillId="10" xfId="0" applyNumberFormat="1" applyFont="1" applyFill="1" applyBorder="0"/>
    <x:xf numFmtId="0" fontId="6" fillId="0" borderId="5" xfId="0" applyNumberFormat="1" applyFont="1" applyFill="1" applyBorder="1" applyAlignment="1">
      <x:alignment wrapText="1"/>
    </x:xf>
    <x:xf numFmtId="205" fontId="5" fillId="10" borderId="9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203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0" fillId="11" borderId="4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5" xfId="0" applyNumberFormat="1" applyFont="1" applyFill="1" applyBorder="1" applyAlignment="1">
      <x:alignment vertical="top" wrapText="1"/>
    </x:xf>
    <x:xf numFmtId="0" fontId="0" fillId="11" borderId="6" xfId="0" applyNumberFormat="1" applyFont="1" applyFill="1" applyBorder="1" applyAlignment="1">
      <x:alignment vertical="top" wrapText="1"/>
    </x:xf>
    <x:xf numFmtId="0" fontId="0" fillId="11" borderId="9" xfId="0" applyNumberFormat="1" applyFont="1" applyFill="1" applyBorder="1" applyAlignment="1">
      <x:alignment vertical="top" wrapText="1"/>
    </x:xf>
    <x:xf numFmtId="0" fontId="0" fillId="11" borderId="7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8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1" fillId="17" borderId="10" xfId="0" applyNumberFormat="1" applyFont="1" applyFill="1" applyBorder="1" applyAlignment="1">
      <x:alignment horizontal="center" vertical="center" wrapText="1"/>
    </x:xf>
    <x:xf numFmtId="0" fontId="1" fillId="17" borderId="11" xfId="0" applyNumberFormat="1" applyFont="1" applyFill="1" applyBorder="1" applyAlignment="1">
      <x:alignment horizontal="center" vertical="center" wrapText="1"/>
    </x:xf>
    <x:xf numFmtId="0" fontId="1" fillId="17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top"/>
    </x:xf>
    <x:xf numFmtId="0" fontId="0" fillId="0" xfId="0" applyNumberFormat="1" applyFont="1" applyFill="1" applyBorder="0" applyAlignment="1">
      <x:alignment horizontal="center" vertical="top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9" fillId="0" xfId="0" applyNumberFormat="1" applyFont="1" applyFill="1" applyBorder="0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top"/>
    </x:xf>
    <x:xf numFmtId="0" fontId="0" fillId="0" borderId="16" xfId="0" applyNumberFormat="1" applyFont="1" applyFill="1" applyBorder="1" applyAlignment="1">
      <x:alignment horizontal="center" vertical="top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9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d982566f84c32" /><Relationship Type="http://schemas.openxmlformats.org/officeDocument/2006/relationships/theme" Target="/xl/theme/theme1.xml" Id="R3e3d93a50c2043cc" /><Relationship Type="http://schemas.openxmlformats.org/officeDocument/2006/relationships/sharedStrings" Target="/xl/sharedStrings.xml" Id="R11d18a51169841e6" /><Relationship Type="http://schemas.openxmlformats.org/officeDocument/2006/relationships/worksheet" Target="/xl/worksheets/sheet1.xml" Id="R4da48cecf3dc4ea1" /><Relationship Type="http://schemas.openxmlformats.org/officeDocument/2006/relationships/worksheet" Target="/xl/worksheets/sheet2.xml" Id="R66151d7f0dd346d5" /><Relationship Type="http://schemas.openxmlformats.org/officeDocument/2006/relationships/worksheet" Target="/xl/worksheets/sheet3.xml" Id="R85766b2809a14871" /><Relationship Type="http://schemas.openxmlformats.org/officeDocument/2006/relationships/worksheet" Target="/xl/worksheets/sheet4.xml" Id="R51c3fcf7f0bc4fb6" /></Relationships>
</file>

<file path=xl/tables/table1.xml><?xml version="1.0" encoding="utf-8"?>
<x:table xmlns:x="http://schemas.openxmlformats.org/spreadsheetml/2006/main" id="1" name="PokemonPortfolioTable" displayName="PokemonPortfolioTable" ref="A1:U20" headerRowCount="1">
  <x:tableColumns count="21">
    <x:tableColumn id="1" name="Portfolio Name"/>
    <x:tableColumn id="2" name="Category"/>
    <x:tableColumn id="3" name="Set"/>
    <x:tableColumn id="4" name="Product Name"/>
    <x:tableColumn id="5" name="Card Number"/>
    <x:tableColumn id="6" name="Rarity"/>
    <x:tableColumn id="7" name="Variance"/>
    <x:tableColumn id="8" name="Grade"/>
    <x:tableColumn id="9" name="Card Condition"/>
    <x:tableColumn id="10" name="Average Cost Paid"/>
    <x:tableColumn id="11" name="Quantity"/>
    <x:tableColumn id="12" name="Market Price (As of 2026-08-02)"/>
    <x:tableColumn id="13" name="Price Override"/>
    <x:tableColumn id="14" name="Watchlist"/>
    <x:tableColumn id="15" name="Date Added"/>
    <x:tableColumn id="16" name="Notes"/>
    <x:tableColumn id="17" name="Market Price (£)"/>
    <x:tableColumn id="18" name="75% Target Delivered Price (£)"/>
    <x:tableColumn id="19" name="Actual Cost Paid (£)"/>
    <x:tableColumn id="20" name="Difference vs 75% Target (£)"/>
    <x:tableColumn id="21" name="75% Target Result"/>
  </x:tableColumns>
  <x:tableStyleInfo name="TableStyleMedium2" showRowStripes="1"/>
</x:table>
</file>

<file path=xl/tables/table2.xml><?xml version="1.0" encoding="utf-8"?>
<x:table xmlns:x="http://schemas.openxmlformats.org/spreadsheetml/2006/main" id="2" name="EbaySearchLibraryTable" displayName="EbaySearchLibraryTable" ref="A7:J157" headerRowCount="1">
  <x:tableColumns count="10">
    <x:tableColumn id="1" name="Rank"/>
    <x:tableColumn id="2" name="Score"/>
    <x:tableColumn id="3" name="Search title"/>
    <x:tableColumn id="4" name="Strategy category"/>
    <x:tableColumn id="5" name="Uses editable name?"/>
    <x:tableColumn id="6" name="Search query preview"/>
    <x:tableColumn id="7" name="Direct eBay link"/>
    <x:tableColumn id="8" name="Why this search can work"/>
    <x:tableColumn id="9" name="Main risk / check"/>
    <x:tableColumn id="10" name="Auction settin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96145709a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35bdddd6394466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4" hidden="0" customWidth="1"/>
    <x:col min="5" max="5" width="12" hidden="0" customWidth="1"/>
    <x:col min="6" max="6" width="16" hidden="0" customWidth="1"/>
    <x:col min="7" max="7" width="18" hidden="0" customWidth="1"/>
    <x:col min="8" max="8" width="12" hidden="0" customWidth="1"/>
    <x:col min="9" max="9" width="15" hidden="0" customWidth="1"/>
    <x:col min="10" max="10" width="16" hidden="0" customWidth="1"/>
    <x:col min="11" max="11" width="10" hidden="0" customWidth="1"/>
    <x:col min="12" max="12" width="18" hidden="0" customWidth="1"/>
    <x:col min="13" max="13" width="14" hidden="0" customWidth="1"/>
    <x:col min="14" max="14" width="10" hidden="0" customWidth="1"/>
    <x:col min="15" max="15" width="14" hidden="0" customWidth="1"/>
    <x:col min="16" max="16" width="24" hidden="0" customWidth="1"/>
    <x:col min="17" max="17" width="15" hidden="0" customWidth="1"/>
    <x:col min="18" max="18" width="22" hidden="0" customWidth="1"/>
    <x:col min="19" max="19" width="17" hidden="0" customWidth="1"/>
    <x:col min="20" max="20" width="22" hidden="0" customWidth="1"/>
    <x:col min="21" max="21" width="21" hidden="0" customWidth="1"/>
    <x:col min="22" max="22" width="24" hidden="0" customWidth="1"/>
    <x:col min="23" max="23" width="18" hidden="0" customWidth="1"/>
  </x:cols>
  <x:sheetData>
    <x:row r="1" ht="34" customHeight="1">
      <x:c r="A1" s="6" t="str">
        <x:v>Portfolio Name</x:v>
      </x:c>
      <x:c r="B1" s="6" t="str">
        <x:v>Category</x:v>
      </x:c>
      <x:c r="C1" s="6" t="str">
        <x:v>Set</x:v>
      </x:c>
      <x:c r="D1" s="6" t="str">
        <x:v>Product Name</x:v>
      </x:c>
      <x:c r="E1" s="6" t="str">
        <x:v>Card Number</x:v>
      </x:c>
      <x:c r="F1" s="6" t="str">
        <x:v>Rarity</x:v>
      </x:c>
      <x:c r="G1" s="6" t="str">
        <x:v>Variance</x:v>
      </x:c>
      <x:c r="H1" s="6" t="str">
        <x:v>Grade</x:v>
      </x:c>
      <x:c r="I1" s="6" t="str">
        <x:v>Card Condition</x:v>
      </x:c>
      <x:c r="J1" s="6" t="str">
        <x:v>Average Cost Paid</x:v>
      </x:c>
      <x:c r="K1" s="6" t="str">
        <x:v>Quantity</x:v>
      </x:c>
      <x:c r="L1" s="6" t="str">
        <x:v>Market Price (As of 2026-08-02)</x:v>
      </x:c>
      <x:c r="M1" s="6" t="str">
        <x:v>Price Override</x:v>
      </x:c>
      <x:c r="N1" s="6" t="str">
        <x:v>Watchlist</x:v>
      </x:c>
      <x:c r="O1" s="6" t="str">
        <x:v>Date Added</x:v>
      </x:c>
      <x:c r="P1" s="6" t="str">
        <x:v>Notes</x:v>
      </x:c>
      <x:c r="Q1" s="6" t="str">
        <x:v>Market Price (£)</x:v>
      </x:c>
      <x:c r="R1" s="6" t="str">
        <x:v>75% Target Delivered Price (£)</x:v>
      </x:c>
      <x:c r="S1" s="6" t="str">
        <x:v>Actual Cost Paid (£)</x:v>
      </x:c>
      <x:c r="T1" s="6" t="str">
        <x:v>Difference vs 75% Target (£)</x:v>
      </x:c>
      <x:c r="U1" s="6" t="str">
        <x:v>75% Target Result</x:v>
      </x:c>
      <x:c r="V1" s="47" t="str">
        <x:v>Current Delta: Market - Cost (£)</x:v>
      </x:c>
      <x:c r="W1" s="47" t="str">
        <x:v>Current Delta (%)</x:v>
      </x:c>
    </x:row>
    <x:row r="2">
      <x:c r="A2" s="22" t="str">
        <x:v>Main</x:v>
      </x:c>
      <x:c r="B2" s="22" t="str">
        <x:v>Pokémon TCG</x:v>
      </x:c>
      <x:c r="C2" s="22" t="str">
        <x:v>Ascended Heroes</x:v>
      </x:c>
      <x:c r="D2" s="22" t="str">
        <x:v>N's Zekrom</x:v>
      </x:c>
      <x:c r="E2" s="22" t="str">
        <x:v>155</x:v>
      </x:c>
      <x:c r="F2" s="22" t="str">
        <x:v>Rare</x:v>
      </x:c>
      <x:c r="G2" s="22" t="str">
        <x:v>Reverse Holofoil</x:v>
      </x:c>
      <x:c r="H2" s="22" t="str">
        <x:v>Ungraded</x:v>
      </x:c>
      <x:c r="I2" s="22" t="str">
        <x:v>Near Mint</x:v>
      </x:c>
      <x:c r="J2" s="23" t="n">
        <x:v>0</x:v>
      </x:c>
      <x:c r="K2" s="24" t="n">
        <x:v>1</x:v>
      </x:c>
      <x:c r="L2" s="24" t="n">
        <x:v>768</x:v>
      </x:c>
      <x:c r="M2" s="22" t="n">
        <x:v>0</x:v>
      </x:c>
      <x:c r="N2" s="22" t="str">
        <x:v>false</x:v>
      </x:c>
      <x:c r="O2" s="22" t="str">
        <x:v>2026-08-02</x:v>
      </x:c>
      <x:c r="P2" s="22" t="str"/>
      <x:c r="Q2" s="23" t="n">
        <x:f>L2/100</x:f>
        <x:v>7.68</x:v>
      </x:c>
      <x:c r="R2" s="23" t="n">
        <x:f>Q2*75%</x:f>
        <x:v>5.76</x:v>
      </x:c>
      <x:c r="S2" s="23" t="n">
        <x:f>J2</x:f>
        <x:v>0</x:v>
      </x:c>
      <x:c r="T2" s="23" t="n">
        <x:f>R2-S2</x:f>
        <x:v>5.76</x:v>
      </x:c>
      <x:c r="U2" s="22" t="str">
        <x:f>IF(S2=0,"NO COST ENTERED",IF(S2&lt;=R2,"WITHIN 75% TARGET","OVER 75% TARGET"))</x:f>
        <x:v>NO COST ENTERED</x:v>
      </x:c>
      <x:c r="V2" s="12" t="n">
        <x:f>Q2-S2</x:f>
        <x:v>7.68</x:v>
      </x:c>
      <x:c r="W2" s="48" t="str">
        <x:f>IF(S2=0,"",V2/S2)</x:f>
      </x:c>
    </x:row>
    <x:row r="3">
      <x:c r="A3" s="22" t="str">
        <x:v>Main</x:v>
      </x:c>
      <x:c r="B3" s="22" t="str">
        <x:v>Pokémon TCG</x:v>
      </x:c>
      <x:c r="C3" s="22" t="str">
        <x:v>Celebrations</x:v>
      </x:c>
      <x:c r="D3" s="22" t="str">
        <x:v>Zekrom</x:v>
      </x:c>
      <x:c r="E3" s="22" t="str">
        <x:v>010</x:v>
      </x:c>
      <x:c r="F3" s="22" t="str">
        <x:v>Holo Rare</x:v>
      </x:c>
      <x:c r="G3" s="22" t="str">
        <x:v>Holofoil</x:v>
      </x:c>
      <x:c r="H3" s="22" t="str">
        <x:v>Ungraded</x:v>
      </x:c>
      <x:c r="I3" s="22" t="str">
        <x:v>Near Mint</x:v>
      </x:c>
      <x:c r="J3" s="23" t="n">
        <x:v>0</x:v>
      </x:c>
      <x:c r="K3" s="24" t="n">
        <x:v>1</x:v>
      </x:c>
      <x:c r="L3" s="24" t="n">
        <x:v>37</x:v>
      </x:c>
      <x:c r="M3" s="22" t="n">
        <x:v>0</x:v>
      </x:c>
      <x:c r="N3" s="22" t="str">
        <x:v>false</x:v>
      </x:c>
      <x:c r="O3" s="22" t="str">
        <x:v>2026-08-02</x:v>
      </x:c>
      <x:c r="P3" s="22" t="str"/>
      <x:c r="Q3" s="23" t="n">
        <x:f>L3/100</x:f>
        <x:v>0.37</x:v>
      </x:c>
      <x:c r="R3" s="23" t="n">
        <x:f>Q3*75%</x:f>
        <x:v>0.27749999999999997</x:v>
      </x:c>
      <x:c r="S3" s="23" t="n">
        <x:f>J3</x:f>
        <x:v>0</x:v>
      </x:c>
      <x:c r="T3" s="23" t="n">
        <x:f>R3-S3</x:f>
        <x:v>0.27749999999999997</x:v>
      </x:c>
      <x:c r="U3" s="22" t="str">
        <x:f>IF(S3=0,"NO COST ENTERED",IF(S3&lt;=R3,"WITHIN 75% TARGET","OVER 75% TARGET"))</x:f>
        <x:v>NO COST ENTERED</x:v>
      </x:c>
      <x:c r="V3" s="12" t="n">
        <x:f>Q3-S3</x:f>
        <x:v>0.37</x:v>
      </x:c>
      <x:c r="W3" s="48" t="str">
        <x:f>IF(S3=0,"",V3/S3)</x:f>
      </x:c>
    </x:row>
    <x:row r="4">
      <x:c r="A4" s="22" t="str">
        <x:v>Main</x:v>
      </x:c>
      <x:c r="B4" s="22" t="str">
        <x:v>Pokémon TCG</x:v>
      </x:c>
      <x:c r="C4" s="22" t="str">
        <x:v>Destined Rivals</x:v>
      </x:c>
      <x:c r="D4" s="22" t="str">
        <x:v>Arven's Toedscool</x:v>
      </x:c>
      <x:c r="E4" s="22" t="str">
        <x:v>109</x:v>
      </x:c>
      <x:c r="F4" s="22" t="str">
        <x:v>Common</x:v>
      </x:c>
      <x:c r="G4" s="22" t="str">
        <x:v>Normal</x:v>
      </x:c>
      <x:c r="H4" s="22" t="str">
        <x:v>Ungraded</x:v>
      </x:c>
      <x:c r="I4" s="22" t="str">
        <x:v>Near Mint</x:v>
      </x:c>
      <x:c r="J4" s="23" t="n">
        <x:v>0</x:v>
      </x:c>
      <x:c r="K4" s="24" t="n">
        <x:v>1</x:v>
      </x:c>
      <x:c r="L4" s="24" t="n">
        <x:v>2</x:v>
      </x:c>
      <x:c r="M4" s="22" t="n">
        <x:v>0</x:v>
      </x:c>
      <x:c r="N4" s="22" t="str">
        <x:v>false</x:v>
      </x:c>
      <x:c r="O4" s="22" t="str">
        <x:v>2026-08-02</x:v>
      </x:c>
      <x:c r="P4" s="22" t="str"/>
      <x:c r="Q4" s="23" t="n">
        <x:f>L4/100</x:f>
        <x:v>0.02</x:v>
      </x:c>
      <x:c r="R4" s="23" t="n">
        <x:f>Q4*75%</x:f>
        <x:v>0.015</x:v>
      </x:c>
      <x:c r="S4" s="23" t="n">
        <x:f>J4</x:f>
        <x:v>0</x:v>
      </x:c>
      <x:c r="T4" s="23" t="n">
        <x:f>R4-S4</x:f>
        <x:v>0.015</x:v>
      </x:c>
      <x:c r="U4" s="22" t="str">
        <x:f>IF(S4=0,"NO COST ENTERED",IF(S4&lt;=R4,"WITHIN 75% TARGET","OVER 75% TARGET"))</x:f>
        <x:v>NO COST ENTERED</x:v>
      </x:c>
      <x:c r="V4" s="12" t="n">
        <x:f>Q4-S4</x:f>
        <x:v>0.02</x:v>
      </x:c>
      <x:c r="W4" s="48" t="str">
        <x:f>IF(S4=0,"",V4/S4)</x:f>
      </x:c>
    </x:row>
    <x:row r="5">
      <x:c r="A5" s="22" t="str">
        <x:v>Main</x:v>
      </x:c>
      <x:c r="B5" s="22" t="str">
        <x:v>Pokémon TCG</x:v>
      </x:c>
      <x:c r="C5" s="22" t="str">
        <x:v>Destined Rivals</x:v>
      </x:c>
      <x:c r="D5" s="22" t="str">
        <x:v>Energy Recycler</x:v>
      </x:c>
      <x:c r="E5" s="22" t="str">
        <x:v>164</x:v>
      </x:c>
      <x:c r="F5" s="22" t="str">
        <x:v>—</x:v>
      </x:c>
      <x:c r="G5" s="22" t="str">
        <x:v>Normal</x:v>
      </x:c>
      <x:c r="H5" s="22" t="str">
        <x:v>Ungraded</x:v>
      </x:c>
      <x:c r="I5" s="22" t="str">
        <x:v>Near Mint</x:v>
      </x:c>
      <x:c r="J5" s="23" t="n">
        <x:v>0</x:v>
      </x:c>
      <x:c r="K5" s="24" t="n">
        <x:v>1</x:v>
      </x:c>
      <x:c r="L5" s="24" t="n">
        <x:v>20</x:v>
      </x:c>
      <x:c r="M5" s="22" t="n">
        <x:v>0</x:v>
      </x:c>
      <x:c r="N5" s="22" t="str">
        <x:v>false</x:v>
      </x:c>
      <x:c r="O5" s="22" t="str">
        <x:v>2026-08-02</x:v>
      </x:c>
      <x:c r="P5" s="22" t="str"/>
      <x:c r="Q5" s="23" t="n">
        <x:f>L5/100</x:f>
        <x:v>0.2</x:v>
      </x:c>
      <x:c r="R5" s="23" t="n">
        <x:f>Q5*75%</x:f>
        <x:v>0.15000000000000002</x:v>
      </x:c>
      <x:c r="S5" s="23" t="n">
        <x:f>J5</x:f>
        <x:v>0</x:v>
      </x:c>
      <x:c r="T5" s="23" t="n">
        <x:f>R5-S5</x:f>
        <x:v>0.15000000000000002</x:v>
      </x:c>
      <x:c r="U5" s="22" t="str">
        <x:f>IF(S5=0,"NO COST ENTERED",IF(S5&lt;=R5,"WITHIN 75% TARGET","OVER 75% TARGET"))</x:f>
        <x:v>NO COST ENTERED</x:v>
      </x:c>
      <x:c r="V5" s="12" t="n">
        <x:f>Q5-S5</x:f>
        <x:v>0.2</x:v>
      </x:c>
      <x:c r="W5" s="48" t="str">
        <x:f>IF(S5=0,"",V5/S5)</x:f>
      </x:c>
    </x:row>
    <x:row r="6">
      <x:c r="A6" s="22" t="str">
        <x:v>Main</x:v>
      </x:c>
      <x:c r="B6" s="22" t="str">
        <x:v>Pokémon TCG</x:v>
      </x:c>
      <x:c r="C6" s="22" t="str">
        <x:v>Destined Rivals</x:v>
      </x:c>
      <x:c r="D6" s="22" t="str">
        <x:v>Ethan's Ho-oh ex</x:v>
      </x:c>
      <x:c r="E6" s="22" t="str">
        <x:v>039</x:v>
      </x:c>
      <x:c r="F6" s="22" t="str">
        <x:v>Double Rare</x:v>
      </x:c>
      <x:c r="G6" s="22" t="str">
        <x:v>Holofoil</x:v>
      </x:c>
      <x:c r="H6" s="22" t="str">
        <x:v>Ungraded</x:v>
      </x:c>
      <x:c r="I6" s="22" t="str">
        <x:v>Near Mint</x:v>
      </x:c>
      <x:c r="J6" s="23" t="n">
        <x:v>0</x:v>
      </x:c>
      <x:c r="K6" s="24" t="n">
        <x:v>1</x:v>
      </x:c>
      <x:c r="L6" s="24" t="n">
        <x:v>68</x:v>
      </x:c>
      <x:c r="M6" s="22" t="n">
        <x:v>0</x:v>
      </x:c>
      <x:c r="N6" s="22" t="str">
        <x:v>false</x:v>
      </x:c>
      <x:c r="O6" s="22" t="str">
        <x:v>2026-08-02</x:v>
      </x:c>
      <x:c r="P6" s="22" t="str"/>
      <x:c r="Q6" s="23" t="n">
        <x:f>L6/100</x:f>
        <x:v>0.68</x:v>
      </x:c>
      <x:c r="R6" s="23" t="n">
        <x:f>Q6*75%</x:f>
        <x:v>0.51</x:v>
      </x:c>
      <x:c r="S6" s="23" t="n">
        <x:f>J6</x:f>
        <x:v>0</x:v>
      </x:c>
      <x:c r="T6" s="23" t="n">
        <x:f>R6-S6</x:f>
        <x:v>0.51</x:v>
      </x:c>
      <x:c r="U6" s="22" t="str">
        <x:f>IF(S6=0,"NO COST ENTERED",IF(S6&lt;=R6,"WITHIN 75% TARGET","OVER 75% TARGET"))</x:f>
        <x:v>NO COST ENTERED</x:v>
      </x:c>
      <x:c r="V6" s="12" t="n">
        <x:f>Q6-S6</x:f>
        <x:v>0.68</x:v>
      </x:c>
      <x:c r="W6" s="48" t="str">
        <x:f>IF(S6=0,"",V6/S6)</x:f>
      </x:c>
    </x:row>
    <x:row r="7">
      <x:c r="A7" s="22" t="str">
        <x:v>Main</x:v>
      </x:c>
      <x:c r="B7" s="22" t="str">
        <x:v>Pokémon TCG</x:v>
      </x:c>
      <x:c r="C7" s="22" t="str">
        <x:v>Destined Rivals</x:v>
      </x:c>
      <x:c r="D7" s="22" t="str">
        <x:v>Ethan's Slugma</x:v>
      </x:c>
      <x:c r="E7" s="22" t="str">
        <x:v>035</x:v>
      </x:c>
      <x:c r="F7" s="22" t="str">
        <x:v>Common</x:v>
      </x:c>
      <x:c r="G7" s="22" t="str">
        <x:v>Normal</x:v>
      </x:c>
      <x:c r="H7" s="22" t="str">
        <x:v>Ungraded</x:v>
      </x:c>
      <x:c r="I7" s="22" t="str">
        <x:v>Near Mint</x:v>
      </x:c>
      <x:c r="J7" s="23" t="n">
        <x:v>0</x:v>
      </x:c>
      <x:c r="K7" s="24" t="n">
        <x:v>1</x:v>
      </x:c>
      <x:c r="L7" s="24" t="n">
        <x:v>7</x:v>
      </x:c>
      <x:c r="M7" s="22" t="n">
        <x:v>0</x:v>
      </x:c>
      <x:c r="N7" s="22" t="str">
        <x:v>false</x:v>
      </x:c>
      <x:c r="O7" s="22" t="str">
        <x:v>2026-08-02</x:v>
      </x:c>
      <x:c r="P7" s="22" t="str"/>
      <x:c r="Q7" s="23" t="n">
        <x:f>L7/100</x:f>
        <x:v>0.07</x:v>
      </x:c>
      <x:c r="R7" s="23" t="n">
        <x:f>Q7*75%</x:f>
        <x:v>0.052500000000000005</x:v>
      </x:c>
      <x:c r="S7" s="23" t="n">
        <x:f>J7</x:f>
        <x:v>0</x:v>
      </x:c>
      <x:c r="T7" s="23" t="n">
        <x:f>R7-S7</x:f>
        <x:v>0.052500000000000005</x:v>
      </x:c>
      <x:c r="U7" s="22" t="str">
        <x:f>IF(S7=0,"NO COST ENTERED",IF(S7&lt;=R7,"WITHIN 75% TARGET","OVER 75% TARGET"))</x:f>
        <x:v>NO COST ENTERED</x:v>
      </x:c>
      <x:c r="V7" s="12" t="n">
        <x:f>Q7-S7</x:f>
        <x:v>0.07</x:v>
      </x:c>
      <x:c r="W7" s="48" t="str">
        <x:f>IF(S7=0,"",V7/S7)</x:f>
      </x:c>
    </x:row>
    <x:row r="8">
      <x:c r="A8" s="22" t="str">
        <x:v>Main</x:v>
      </x:c>
      <x:c r="B8" s="22" t="str">
        <x:v>Pokémon TCG</x:v>
      </x:c>
      <x:c r="C8" s="22" t="str">
        <x:v>Destined Rivals</x:v>
      </x:c>
      <x:c r="D8" s="22" t="str">
        <x:v>Smoliv</x:v>
      </x:c>
      <x:c r="E8" s="22" t="str">
        <x:v>021</x:v>
      </x:c>
      <x:c r="F8" s="22" t="str">
        <x:v>Common</x:v>
      </x:c>
      <x:c r="G8" s="22" t="str">
        <x:v>Normal</x:v>
      </x:c>
      <x:c r="H8" s="22" t="str">
        <x:v>Ungraded</x:v>
      </x:c>
      <x:c r="I8" s="22" t="str">
        <x:v>Near Mint</x:v>
      </x:c>
      <x:c r="J8" s="23" t="n">
        <x:v>0</x:v>
      </x:c>
      <x:c r="K8" s="24" t="n">
        <x:v>1</x:v>
      </x:c>
      <x:c r="L8" s="24" t="n">
        <x:v>20</x:v>
      </x:c>
      <x:c r="M8" s="22" t="n">
        <x:v>0</x:v>
      </x:c>
      <x:c r="N8" s="22" t="str">
        <x:v>false</x:v>
      </x:c>
      <x:c r="O8" s="22" t="str">
        <x:v>2026-08-02</x:v>
      </x:c>
      <x:c r="P8" s="22" t="str"/>
      <x:c r="Q8" s="23" t="n">
        <x:f>L8/100</x:f>
        <x:v>0.2</x:v>
      </x:c>
      <x:c r="R8" s="23" t="n">
        <x:f>Q8*75%</x:f>
        <x:v>0.15000000000000002</x:v>
      </x:c>
      <x:c r="S8" s="23" t="n">
        <x:f>J8</x:f>
        <x:v>0</x:v>
      </x:c>
      <x:c r="T8" s="23" t="n">
        <x:f>R8-S8</x:f>
        <x:v>0.15000000000000002</x:v>
      </x:c>
      <x:c r="U8" s="22" t="str">
        <x:f>IF(S8=0,"NO COST ENTERED",IF(S8&lt;=R8,"WITHIN 75% TARGET","OVER 75% TARGET"))</x:f>
        <x:v>NO COST ENTERED</x:v>
      </x:c>
      <x:c r="V8" s="12" t="n">
        <x:f>Q8-S8</x:f>
        <x:v>0.2</x:v>
      </x:c>
      <x:c r="W8" s="48" t="str">
        <x:f>IF(S8=0,"",V8/S8)</x:f>
      </x:c>
    </x:row>
    <x:row r="9">
      <x:c r="A9" s="22" t="str">
        <x:v>Main</x:v>
      </x:c>
      <x:c r="B9" s="22" t="str">
        <x:v>Pokémon TCG</x:v>
      </x:c>
      <x:c r="C9" s="22" t="str">
        <x:v>Destined Rivals</x:v>
      </x:c>
      <x:c r="D9" s="22" t="str">
        <x:v>Steven's Skarmory</x:v>
      </x:c>
      <x:c r="E9" s="22" t="str">
        <x:v>142</x:v>
      </x:c>
      <x:c r="F9" s="22" t="str">
        <x:v>Common</x:v>
      </x:c>
      <x:c r="G9" s="22" t="str">
        <x:v>Normal</x:v>
      </x:c>
      <x:c r="H9" s="22" t="str">
        <x:v>Ungraded</x:v>
      </x:c>
      <x:c r="I9" s="22" t="str">
        <x:v>Near Mint</x:v>
      </x:c>
      <x:c r="J9" s="23" t="n">
        <x:v>0</x:v>
      </x:c>
      <x:c r="K9" s="24" t="n">
        <x:v>1</x:v>
      </x:c>
      <x:c r="L9" s="24" t="n">
        <x:v>15</x:v>
      </x:c>
      <x:c r="M9" s="22" t="n">
        <x:v>0</x:v>
      </x:c>
      <x:c r="N9" s="22" t="str">
        <x:v>false</x:v>
      </x:c>
      <x:c r="O9" s="22" t="str">
        <x:v>2026-08-02</x:v>
      </x:c>
      <x:c r="P9" s="22" t="str"/>
      <x:c r="Q9" s="23" t="n">
        <x:f>L9/100</x:f>
        <x:v>0.15</x:v>
      </x:c>
      <x:c r="R9" s="23" t="n">
        <x:f>Q9*75%</x:f>
        <x:v>0.11249999999999999</x:v>
      </x:c>
      <x:c r="S9" s="23" t="n">
        <x:f>J9</x:f>
        <x:v>0</x:v>
      </x:c>
      <x:c r="T9" s="23" t="n">
        <x:f>R9-S9</x:f>
        <x:v>0.11249999999999999</x:v>
      </x:c>
      <x:c r="U9" s="22" t="str">
        <x:f>IF(S9=0,"NO COST ENTERED",IF(S9&lt;=R9,"WITHIN 75% TARGET","OVER 75% TARGET"))</x:f>
        <x:v>NO COST ENTERED</x:v>
      </x:c>
      <x:c r="V9" s="12" t="n">
        <x:f>Q9-S9</x:f>
        <x:v>0.15</x:v>
      </x:c>
      <x:c r="W9" s="48" t="str">
        <x:f>IF(S9=0,"",V9/S9)</x:f>
      </x:c>
    </x:row>
    <x:row r="10">
      <x:c r="A10" s="22" t="str">
        <x:v>Main</x:v>
      </x:c>
      <x:c r="B10" s="22" t="str">
        <x:v>Pokémon TCG</x:v>
      </x:c>
      <x:c r="C10" s="22" t="str">
        <x:v>Destined Rivals</x:v>
      </x:c>
      <x:c r="D10" s="22" t="str">
        <x:v>Team Rocket's Houndoom</x:v>
      </x:c>
      <x:c r="E10" s="22" t="str">
        <x:v>038</x:v>
      </x:c>
      <x:c r="F10" s="22" t="str">
        <x:v>Uncommon</x:v>
      </x:c>
      <x:c r="G10" s="22" t="str">
        <x:v>Normal</x:v>
      </x:c>
      <x:c r="H10" s="22" t="str">
        <x:v>Ungraded</x:v>
      </x:c>
      <x:c r="I10" s="22" t="str">
        <x:v>Near Mint</x:v>
      </x:c>
      <x:c r="J10" s="23" t="n">
        <x:v>0</x:v>
      </x:c>
      <x:c r="K10" s="24" t="n">
        <x:v>1</x:v>
      </x:c>
      <x:c r="L10" s="24" t="n">
        <x:v>5</x:v>
      </x:c>
      <x:c r="M10" s="22" t="n">
        <x:v>0</x:v>
      </x:c>
      <x:c r="N10" s="22" t="str">
        <x:v>false</x:v>
      </x:c>
      <x:c r="O10" s="22" t="str">
        <x:v>2026-08-02</x:v>
      </x:c>
      <x:c r="P10" s="22" t="str"/>
      <x:c r="Q10" s="23" t="n">
        <x:f>L10/100</x:f>
        <x:v>0.05</x:v>
      </x:c>
      <x:c r="R10" s="23" t="n">
        <x:f>Q10*75%</x:f>
        <x:v>0.037500000000000006</x:v>
      </x:c>
      <x:c r="S10" s="23" t="n">
        <x:f>J10</x:f>
        <x:v>0</x:v>
      </x:c>
      <x:c r="T10" s="23" t="n">
        <x:f>R10-S10</x:f>
        <x:v>0.037500000000000006</x:v>
      </x:c>
      <x:c r="U10" s="22" t="str">
        <x:f>IF(S10=0,"NO COST ENTERED",IF(S10&lt;=R10,"WITHIN 75% TARGET","OVER 75% TARGET"))</x:f>
        <x:v>NO COST ENTERED</x:v>
      </x:c>
      <x:c r="V10" s="12" t="n">
        <x:f>Q10-S10</x:f>
        <x:v>0.05</x:v>
      </x:c>
      <x:c r="W10" s="48" t="str">
        <x:f>IF(S10=0,"",V10/S10)</x:f>
      </x:c>
    </x:row>
    <x:row r="11">
      <x:c r="A11" s="22" t="str">
        <x:v>Main</x:v>
      </x:c>
      <x:c r="B11" s="22" t="str">
        <x:v>Pokémon TCG</x:v>
      </x:c>
      <x:c r="C11" s="22" t="str">
        <x:v>Destined Rivals</x:v>
      </x:c>
      <x:c r="D11" s="22" t="str">
        <x:v>Team Rocket's Mimikyu</x:v>
      </x:c>
      <x:c r="E11" s="22" t="str">
        <x:v>087</x:v>
      </x:c>
      <x:c r="F11" s="22" t="str">
        <x:v>Uncommon</x:v>
      </x:c>
      <x:c r="G11" s="22" t="str">
        <x:v>Normal</x:v>
      </x:c>
      <x:c r="H11" s="22" t="str">
        <x:v>Ungraded</x:v>
      </x:c>
      <x:c r="I11" s="22" t="str">
        <x:v>Near Mint</x:v>
      </x:c>
      <x:c r="J11" s="23" t="n">
        <x:v>0</x:v>
      </x:c>
      <x:c r="K11" s="24" t="n">
        <x:v>1</x:v>
      </x:c>
      <x:c r="L11" s="24" t="n">
        <x:v>27</x:v>
      </x:c>
      <x:c r="M11" s="22" t="n">
        <x:v>0</x:v>
      </x:c>
      <x:c r="N11" s="22" t="str">
        <x:v>false</x:v>
      </x:c>
      <x:c r="O11" s="22" t="str">
        <x:v>2026-08-02</x:v>
      </x:c>
      <x:c r="P11" s="22" t="str"/>
      <x:c r="Q11" s="23" t="n">
        <x:f>L11/100</x:f>
        <x:v>0.27</x:v>
      </x:c>
      <x:c r="R11" s="23" t="n">
        <x:f>Q11*75%</x:f>
        <x:v>0.2025</x:v>
      </x:c>
      <x:c r="S11" s="23" t="n">
        <x:f>J11</x:f>
        <x:v>0</x:v>
      </x:c>
      <x:c r="T11" s="23" t="n">
        <x:f>R11-S11</x:f>
        <x:v>0.2025</x:v>
      </x:c>
      <x:c r="U11" s="22" t="str">
        <x:f>IF(S11=0,"NO COST ENTERED",IF(S11&lt;=R11,"WITHIN 75% TARGET","OVER 75% TARGET"))</x:f>
        <x:v>NO COST ENTERED</x:v>
      </x:c>
      <x:c r="V11" s="12" t="n">
        <x:f>Q11-S11</x:f>
        <x:v>0.27</x:v>
      </x:c>
      <x:c r="W11" s="48" t="str">
        <x:f>IF(S11=0,"",V11/S11)</x:f>
      </x:c>
    </x:row>
    <x:row r="12">
      <x:c r="A12" s="22" t="str">
        <x:v>Main</x:v>
      </x:c>
      <x:c r="B12" s="22" t="str">
        <x:v>Pokémon TCG</x:v>
      </x:c>
      <x:c r="C12" s="22" t="str">
        <x:v>Destined Rivals</x:v>
      </x:c>
      <x:c r="D12" s="22" t="str">
        <x:v>Team Rocket's Murkrow</x:v>
      </x:c>
      <x:c r="E12" s="22" t="str">
        <x:v>127</x:v>
      </x:c>
      <x:c r="F12" s="22" t="str">
        <x:v>Uncommon</x:v>
      </x:c>
      <x:c r="G12" s="22" t="str">
        <x:v>Normal</x:v>
      </x:c>
      <x:c r="H12" s="22" t="str">
        <x:v>Ungraded</x:v>
      </x:c>
      <x:c r="I12" s="22" t="str">
        <x:v>Near Mint</x:v>
      </x:c>
      <x:c r="J12" s="23" t="n">
        <x:v>0</x:v>
      </x:c>
      <x:c r="K12" s="24" t="n">
        <x:v>1</x:v>
      </x:c>
      <x:c r="L12" s="24" t="n">
        <x:v>14</x:v>
      </x:c>
      <x:c r="M12" s="22" t="n">
        <x:v>0</x:v>
      </x:c>
      <x:c r="N12" s="22" t="str">
        <x:v>false</x:v>
      </x:c>
      <x:c r="O12" s="22" t="str">
        <x:v>2026-08-02</x:v>
      </x:c>
      <x:c r="P12" s="22" t="str"/>
      <x:c r="Q12" s="23" t="n">
        <x:f>L12/100</x:f>
        <x:v>0.14</x:v>
      </x:c>
      <x:c r="R12" s="23" t="n">
        <x:f>Q12*75%</x:f>
        <x:v>0.10500000000000001</x:v>
      </x:c>
      <x:c r="S12" s="23" t="n">
        <x:f>J12</x:f>
        <x:v>0</x:v>
      </x:c>
      <x:c r="T12" s="23" t="n">
        <x:f>R12-S12</x:f>
        <x:v>0.10500000000000001</x:v>
      </x:c>
      <x:c r="U12" s="22" t="str">
        <x:f>IF(S12=0,"NO COST ENTERED",IF(S12&lt;=R12,"WITHIN 75% TARGET","OVER 75% TARGET"))</x:f>
        <x:v>NO COST ENTERED</x:v>
      </x:c>
      <x:c r="V12" s="12" t="n">
        <x:f>Q12-S12</x:f>
        <x:v>0.14</x:v>
      </x:c>
      <x:c r="W12" s="48" t="str">
        <x:f>IF(S12=0,"",V12/S12)</x:f>
      </x:c>
    </x:row>
    <x:row r="13">
      <x:c r="A13" s="22" t="str">
        <x:v>Main</x:v>
      </x:c>
      <x:c r="B13" s="22" t="str">
        <x:v>Pokémon TCG</x:v>
      </x:c>
      <x:c r="C13" s="22" t="str">
        <x:v>Furious Fists</x:v>
      </x:c>
      <x:c r="D13" s="22" t="str">
        <x:v>Tyrunt</x:v>
      </x:c>
      <x:c r="E13" s="22" t="str">
        <x:v>061</x:v>
      </x:c>
      <x:c r="F13" s="22" t="str">
        <x:v>Uncommon</x:v>
      </x:c>
      <x:c r="G13" s="22" t="str">
        <x:v>Normal</x:v>
      </x:c>
      <x:c r="H13" s="22" t="str">
        <x:v>Ungraded</x:v>
      </x:c>
      <x:c r="I13" s="22" t="str">
        <x:v>Near Mint</x:v>
      </x:c>
      <x:c r="J13" s="23" t="n">
        <x:v>4.72</x:v>
      </x:c>
      <x:c r="K13" s="24" t="n">
        <x:v>1</x:v>
      </x:c>
      <x:c r="L13" s="24" t="n">
        <x:v>366</x:v>
      </x:c>
      <x:c r="M13" s="22" t="n">
        <x:v>0</x:v>
      </x:c>
      <x:c r="N13" s="22" t="str">
        <x:v>false</x:v>
      </x:c>
      <x:c r="O13" s="22" t="str">
        <x:v>2026-08-02</x:v>
      </x:c>
      <x:c r="P13" s="22" t="str"/>
      <x:c r="Q13" s="23" t="n">
        <x:f>L13/100</x:f>
        <x:v>3.66</x:v>
      </x:c>
      <x:c r="R13" s="23" t="n">
        <x:f>Q13*75%</x:f>
        <x:v>2.745</x:v>
      </x:c>
      <x:c r="S13" s="23" t="n">
        <x:f>J13</x:f>
        <x:v>4.72</x:v>
      </x:c>
      <x:c r="T13" s="23" t="n">
        <x:f>R13-S13</x:f>
        <x:v>-1.9749999999999996</x:v>
      </x:c>
      <x:c r="U13" s="22" t="str">
        <x:f>IF(S13=0,"NO COST ENTERED",IF(S13&lt;=R13,"WITHIN 75% TARGET","OVER 75% TARGET"))</x:f>
        <x:v>OVER 75% TARGET</x:v>
      </x:c>
      <x:c r="V13" s="12" t="n">
        <x:f>Q13-S13</x:f>
        <x:v>-1.0599999999999996</x:v>
      </x:c>
      <x:c r="W13" s="48" t="n">
        <x:f>IF(S13=0,"",V13/S13)</x:f>
        <x:v>-0.2245762711864406</x:v>
      </x:c>
    </x:row>
    <x:row r="14">
      <x:c r="A14" s="22" t="str">
        <x:v>Main</x:v>
      </x:c>
      <x:c r="B14" s="22" t="str">
        <x:v>Pokémon TCG</x:v>
      </x:c>
      <x:c r="C14" s="22" t="str">
        <x:v>Legendary Treasures Radiant Collection</x:v>
      </x:c>
      <x:c r="D14" s="22" t="str">
        <x:v>Gardevoir</x:v>
      </x:c>
      <x:c r="E14" s="22" t="str">
        <x:v>RC10</x:v>
      </x:c>
      <x:c r="F14" s="22" t="str">
        <x:v>Holo Rare</x:v>
      </x:c>
      <x:c r="G14" s="22" t="str">
        <x:v>Holofoil</x:v>
      </x:c>
      <x:c r="H14" s="22" t="str">
        <x:v>Ungraded</x:v>
      </x:c>
      <x:c r="I14" s="22" t="str">
        <x:v>Near Mint</x:v>
      </x:c>
      <x:c r="J14" s="23" t="n">
        <x:v>10.01</x:v>
      </x:c>
      <x:c r="K14" s="24" t="n">
        <x:v>1</x:v>
      </x:c>
      <x:c r="L14" s="24" t="n">
        <x:v>1356</x:v>
      </x:c>
      <x:c r="M14" s="22" t="n">
        <x:v>0</x:v>
      </x:c>
      <x:c r="N14" s="22" t="str">
        <x:v>false</x:v>
      </x:c>
      <x:c r="O14" s="22" t="str">
        <x:v>2026-08-02</x:v>
      </x:c>
      <x:c r="P14" s="22" t="str"/>
      <x:c r="Q14" s="23" t="n">
        <x:f>L14/100</x:f>
        <x:v>13.56</x:v>
      </x:c>
      <x:c r="R14" s="23" t="n">
        <x:f>Q14*75%</x:f>
        <x:v>10.17</x:v>
      </x:c>
      <x:c r="S14" s="23" t="n">
        <x:f>J14</x:f>
        <x:v>10.01</x:v>
      </x:c>
      <x:c r="T14" s="23" t="n">
        <x:f>R14-S14</x:f>
        <x:v>0.16000000000000014</x:v>
      </x:c>
      <x:c r="U14" s="22" t="str">
        <x:f>IF(S14=0,"NO COST ENTERED",IF(S14&lt;=R14,"WITHIN 75% TARGET","OVER 75% TARGET"))</x:f>
        <x:v>WITHIN 75% TARGET</x:v>
      </x:c>
      <x:c r="V14" s="12" t="n">
        <x:f>Q14-S14</x:f>
        <x:v>3.5500000000000007</x:v>
      </x:c>
      <x:c r="W14" s="48" t="n">
        <x:f>IF(S14=0,"",V14/S14)</x:f>
        <x:v>0.35464535464535474</x:v>
      </x:c>
    </x:row>
    <x:row r="15">
      <x:c r="A15" s="22" t="str">
        <x:v>Main</x:v>
      </x:c>
      <x:c r="B15" s="22" t="str">
        <x:v>Pokémon TCG</x:v>
      </x:c>
      <x:c r="C15" s="22" t="str">
        <x:v>Mega Evolution</x:v>
      </x:c>
      <x:c r="D15" s="22" t="str">
        <x:v>Mega Kangaskhan ex</x:v>
      </x:c>
      <x:c r="E15" s="22" t="str">
        <x:v>104</x:v>
      </x:c>
      <x:c r="F15" s="22" t="str">
        <x:v>Double Rare</x:v>
      </x:c>
      <x:c r="G15" s="22" t="str">
        <x:v>Holofoil</x:v>
      </x:c>
      <x:c r="H15" s="22" t="str">
        <x:v>Ungraded</x:v>
      </x:c>
      <x:c r="I15" s="22" t="str">
        <x:v>Near Mint</x:v>
      </x:c>
      <x:c r="J15" s="23" t="n">
        <x:v>4.85</x:v>
      </x:c>
      <x:c r="K15" s="24" t="n">
        <x:v>1</x:v>
      </x:c>
      <x:c r="L15" s="24" t="n">
        <x:v>100</x:v>
      </x:c>
      <x:c r="M15" s="22" t="n">
        <x:v>0</x:v>
      </x:c>
      <x:c r="N15" s="22" t="str">
        <x:v>false</x:v>
      </x:c>
      <x:c r="O15" s="22" t="str">
        <x:v>2026-08-02</x:v>
      </x:c>
      <x:c r="P15" s="22" t="str"/>
      <x:c r="Q15" s="23" t="n">
        <x:f>L15/100</x:f>
        <x:v>1</x:v>
      </x:c>
      <x:c r="R15" s="23" t="n">
        <x:f>Q15*75%</x:f>
        <x:v>0.75</x:v>
      </x:c>
      <x:c r="S15" s="23" t="n">
        <x:f>J15</x:f>
        <x:v>4.85</x:v>
      </x:c>
      <x:c r="T15" s="23" t="n">
        <x:f>R15-S15</x:f>
        <x:v>-4.1</x:v>
      </x:c>
      <x:c r="U15" s="22" t="str">
        <x:f>IF(S15=0,"NO COST ENTERED",IF(S15&lt;=R15,"WITHIN 75% TARGET","OVER 75% TARGET"))</x:f>
        <x:v>OVER 75% TARGET</x:v>
      </x:c>
      <x:c r="V15" s="12" t="n">
        <x:f>Q15-S15</x:f>
        <x:v>-3.8499999999999996</x:v>
      </x:c>
      <x:c r="W15" s="48" t="n">
        <x:f>IF(S15=0,"",V15/S15)</x:f>
        <x:v>-0.7938144329896907</x:v>
      </x:c>
    </x:row>
    <x:row r="16">
      <x:c r="A16" s="22" t="str">
        <x:v>Main</x:v>
      </x:c>
      <x:c r="B16" s="22" t="str">
        <x:v>Pokémon TCG</x:v>
      </x:c>
      <x:c r="C16" s="22" t="str">
        <x:v>Neo Genesis 1st Edition</x:v>
      </x:c>
      <x:c r="D16" s="22" t="str">
        <x:v>Pikachu</x:v>
      </x:c>
      <x:c r="E16" s="22" t="str">
        <x:v>070</x:v>
      </x:c>
      <x:c r="F16" s="22" t="str">
        <x:v>Common</x:v>
      </x:c>
      <x:c r="G16" s="22" t="str">
        <x:v>Normal</x:v>
      </x:c>
      <x:c r="H16" s="22" t="str">
        <x:v>Ungraded</x:v>
      </x:c>
      <x:c r="I16" s="22" t="str">
        <x:v>Near Mint</x:v>
      </x:c>
      <x:c r="J16" s="23" t="n">
        <x:v>8.28</x:v>
      </x:c>
      <x:c r="K16" s="24" t="n">
        <x:v>1</x:v>
      </x:c>
      <x:c r="L16" s="24" t="n">
        <x:v>1027</x:v>
      </x:c>
      <x:c r="M16" s="22" t="n">
        <x:v>0</x:v>
      </x:c>
      <x:c r="N16" s="22" t="str">
        <x:v>false</x:v>
      </x:c>
      <x:c r="O16" s="22" t="str">
        <x:v>2026-08-02</x:v>
      </x:c>
      <x:c r="P16" s="22" t="str"/>
      <x:c r="Q16" s="23" t="n">
        <x:f>L16/100</x:f>
        <x:v>10.27</x:v>
      </x:c>
      <x:c r="R16" s="23" t="n">
        <x:f>Q16*75%</x:f>
        <x:v>7.7025</x:v>
      </x:c>
      <x:c r="S16" s="23" t="n">
        <x:f>J16</x:f>
        <x:v>8.28</x:v>
      </x:c>
      <x:c r="T16" s="23" t="n">
        <x:f>R16-S16</x:f>
        <x:v>-0.5774999999999997</x:v>
      </x:c>
      <x:c r="U16" s="22" t="str">
        <x:f>IF(S16=0,"NO COST ENTERED",IF(S16&lt;=R16,"WITHIN 75% TARGET","OVER 75% TARGET"))</x:f>
        <x:v>OVER 75% TARGET</x:v>
      </x:c>
      <x:c r="V16" s="12" t="n">
        <x:f>Q16-S16</x:f>
        <x:v>1.9900000000000002</x:v>
      </x:c>
      <x:c r="W16" s="48" t="n">
        <x:f>IF(S16=0,"",V16/S16)</x:f>
        <x:v>0.24033816425120777</x:v>
      </x:c>
    </x:row>
    <x:row r="17">
      <x:c r="A17" s="22" t="str">
        <x:v>Main</x:v>
      </x:c>
      <x:c r="B17" s="22" t="str">
        <x:v>Pokémon TCG</x:v>
      </x:c>
      <x:c r="C17" s="22" t="str">
        <x:v>Prize Pack Series Cards</x:v>
      </x:c>
      <x:c r="D17" s="22" t="str">
        <x:v>Basic Metal Energy</x:v>
      </x:c>
      <x:c r="E17" s="22" t="str">
        <x:v>008</x:v>
      </x:c>
      <x:c r="F17" s="22" t="str">
        <x:v>Common</x:v>
      </x:c>
      <x:c r="G17" s="22" t="str">
        <x:v>Holofoil</x:v>
      </x:c>
      <x:c r="H17" s="22" t="str">
        <x:v>Ungraded</x:v>
      </x:c>
      <x:c r="I17" s="22" t="str">
        <x:v>Near Mint</x:v>
      </x:c>
      <x:c r="J17" s="23" t="n">
        <x:v>0</x:v>
      </x:c>
      <x:c r="K17" s="24" t="n">
        <x:v>1</x:v>
      </x:c>
      <x:c r="L17" s="24" t="n">
        <x:v>132</x:v>
      </x:c>
      <x:c r="M17" s="22" t="n">
        <x:v>0</x:v>
      </x:c>
      <x:c r="N17" s="22" t="str">
        <x:v>false</x:v>
      </x:c>
      <x:c r="O17" s="22" t="str">
        <x:v>2026-08-02</x:v>
      </x:c>
      <x:c r="P17" s="22" t="str"/>
      <x:c r="Q17" s="23" t="n">
        <x:f>L17/100</x:f>
        <x:v>1.32</x:v>
      </x:c>
      <x:c r="R17" s="23" t="n">
        <x:f>Q17*75%</x:f>
        <x:v>0.99</x:v>
      </x:c>
      <x:c r="S17" s="23" t="n">
        <x:f>J17</x:f>
        <x:v>0</x:v>
      </x:c>
      <x:c r="T17" s="23" t="n">
        <x:f>R17-S17</x:f>
        <x:v>0.99</x:v>
      </x:c>
      <x:c r="U17" s="22" t="str">
        <x:f>IF(S17=0,"NO COST ENTERED",IF(S17&lt;=R17,"WITHIN 75% TARGET","OVER 75% TARGET"))</x:f>
        <x:v>NO COST ENTERED</x:v>
      </x:c>
      <x:c r="V17" s="12" t="n">
        <x:f>Q17-S17</x:f>
        <x:v>1.32</x:v>
      </x:c>
      <x:c r="W17" s="48" t="str">
        <x:f>IF(S17=0,"",V17/S17)</x:f>
      </x:c>
    </x:row>
    <x:row r="18">
      <x:c r="A18" s="22" t="str">
        <x:v>Main</x:v>
      </x:c>
      <x:c r="B18" s="22" t="str">
        <x:v>Pokémon TCG</x:v>
      </x:c>
      <x:c r="C18" s="22" t="str">
        <x:v>Skyridge</x:v>
      </x:c>
      <x:c r="D18" s="22" t="str">
        <x:v>Rattata</x:v>
      </x:c>
      <x:c r="E18" s="22" t="str">
        <x:v>090</x:v>
      </x:c>
      <x:c r="F18" s="22" t="str">
        <x:v>Common</x:v>
      </x:c>
      <x:c r="G18" s="22" t="str">
        <x:v>Normal</x:v>
      </x:c>
      <x:c r="H18" s="22" t="str">
        <x:v>Ungraded</x:v>
      </x:c>
      <x:c r="I18" s="22" t="str">
        <x:v>Near Mint</x:v>
      </x:c>
      <x:c r="J18" s="23" t="n">
        <x:v>9.02</x:v>
      </x:c>
      <x:c r="K18" s="24" t="n">
        <x:v>1</x:v>
      </x:c>
      <x:c r="L18" s="24" t="n">
        <x:v>1006</x:v>
      </x:c>
      <x:c r="M18" s="22" t="n">
        <x:v>0</x:v>
      </x:c>
      <x:c r="N18" s="22" t="str">
        <x:v>false</x:v>
      </x:c>
      <x:c r="O18" s="22" t="str">
        <x:v>2026-08-02</x:v>
      </x:c>
      <x:c r="P18" s="22" t="str"/>
      <x:c r="Q18" s="23" t="n">
        <x:f>L18/100</x:f>
        <x:v>10.06</x:v>
      </x:c>
      <x:c r="R18" s="23" t="n">
        <x:f>Q18*75%</x:f>
        <x:v>7.545</x:v>
      </x:c>
      <x:c r="S18" s="23" t="n">
        <x:f>J18</x:f>
        <x:v>9.02</x:v>
      </x:c>
      <x:c r="T18" s="23" t="n">
        <x:f>R18-S18</x:f>
        <x:v>-1.4749999999999996</x:v>
      </x:c>
      <x:c r="U18" s="22" t="str">
        <x:f>IF(S18=0,"NO COST ENTERED",IF(S18&lt;=R18,"WITHIN 75% TARGET","OVER 75% TARGET"))</x:f>
        <x:v>OVER 75% TARGET</x:v>
      </x:c>
      <x:c r="V18" s="12" t="n">
        <x:f>Q18-S18</x:f>
        <x:v>1.040000000000001</x:v>
      </x:c>
      <x:c r="W18" s="48" t="n">
        <x:f>IF(S18=0,"",V18/S18)</x:f>
        <x:v>0.11529933481153004</x:v>
      </x:c>
    </x:row>
    <x:row r="19">
      <x:c r="A19" s="22" t="str">
        <x:v>Main</x:v>
      </x:c>
      <x:c r="B19" s="22" t="str">
        <x:v>Pokémon TCG</x:v>
      </x:c>
      <x:c r="C19" s="22" t="str">
        <x:v>SM Promos</x:v>
      </x:c>
      <x:c r="D19" s="22" t="str">
        <x:v>Alolan Raichu</x:v>
      </x:c>
      <x:c r="E19" s="22" t="str">
        <x:v>SM65</x:v>
      </x:c>
      <x:c r="F19" s="22" t="str">
        <x:v>Holo Rare</x:v>
      </x:c>
      <x:c r="G19" s="22" t="str">
        <x:v>Normal</x:v>
      </x:c>
      <x:c r="H19" s="22" t="str">
        <x:v>Ungraded</x:v>
      </x:c>
      <x:c r="I19" s="22" t="str">
        <x:v>Near Mint</x:v>
      </x:c>
      <x:c r="J19" s="23" t="n">
        <x:v>5.21</x:v>
      </x:c>
      <x:c r="K19" s="24" t="n">
        <x:v>1</x:v>
      </x:c>
      <x:c r="L19" s="24" t="n">
        <x:v>749</x:v>
      </x:c>
      <x:c r="M19" s="22" t="n">
        <x:v>0</x:v>
      </x:c>
      <x:c r="N19" s="22" t="str">
        <x:v>false</x:v>
      </x:c>
      <x:c r="O19" s="22" t="str">
        <x:v>2026-08-02</x:v>
      </x:c>
      <x:c r="P19" s="22" t="str"/>
      <x:c r="Q19" s="23" t="n">
        <x:f>L19/100</x:f>
        <x:v>7.49</x:v>
      </x:c>
      <x:c r="R19" s="23" t="n">
        <x:f>Q19*75%</x:f>
        <x:v>5.6175</x:v>
      </x:c>
      <x:c r="S19" s="23" t="n">
        <x:f>J19</x:f>
        <x:v>5.21</x:v>
      </x:c>
      <x:c r="T19" s="23" t="n">
        <x:f>R19-S19</x:f>
        <x:v>0.40749999999999975</x:v>
      </x:c>
      <x:c r="U19" s="22" t="str">
        <x:f>IF(S19=0,"NO COST ENTERED",IF(S19&lt;=R19,"WITHIN 75% TARGET","OVER 75% TARGET"))</x:f>
        <x:v>WITHIN 75% TARGET</x:v>
      </x:c>
      <x:c r="V19" s="12" t="n">
        <x:f>Q19-S19</x:f>
        <x:v>2.2800000000000002</x:v>
      </x:c>
      <x:c r="W19" s="48" t="n">
        <x:f>IF(S19=0,"",V19/S19)</x:f>
        <x:v>0.4376199616122841</x:v>
      </x:c>
    </x:row>
    <x:row r="20">
      <x:c r="A20" s="22" t="str">
        <x:v>Main</x:v>
      </x:c>
      <x:c r="B20" s="22" t="str">
        <x:v>Pokémon TCG</x:v>
      </x:c>
      <x:c r="C20" s="22" t="str">
        <x:v>Team Rocket</x:v>
      </x:c>
      <x:c r="D20" s="22" t="str">
        <x:v>Dark Jolteon</x:v>
      </x:c>
      <x:c r="E20" s="22" t="str">
        <x:v>038</x:v>
      </x:c>
      <x:c r="F20" s="22" t="str">
        <x:v>Uncommon</x:v>
      </x:c>
      <x:c r="G20" s="22" t="str">
        <x:v>Normal</x:v>
      </x:c>
      <x:c r="H20" s="22" t="str">
        <x:v>Ungraded</x:v>
      </x:c>
      <x:c r="I20" s="22" t="str">
        <x:v>Near Mint</x:v>
      </x:c>
      <x:c r="J20" s="23" t="n">
        <x:v>5.44</x:v>
      </x:c>
      <x:c r="K20" s="24" t="n">
        <x:v>1</x:v>
      </x:c>
      <x:c r="L20" s="24" t="n">
        <x:v>859</x:v>
      </x:c>
      <x:c r="M20" s="22" t="n">
        <x:v>0</x:v>
      </x:c>
      <x:c r="N20" s="22" t="str">
        <x:v>false</x:v>
      </x:c>
      <x:c r="O20" s="22" t="str">
        <x:v>2026-08-02</x:v>
      </x:c>
      <x:c r="P20" s="22" t="str"/>
      <x:c r="Q20" s="23" t="n">
        <x:f>L20/100</x:f>
        <x:v>8.59</x:v>
      </x:c>
      <x:c r="R20" s="23" t="n">
        <x:f>Q20*75%</x:f>
        <x:v>6.4425</x:v>
      </x:c>
      <x:c r="S20" s="23" t="n">
        <x:f>J20</x:f>
        <x:v>5.44</x:v>
      </x:c>
      <x:c r="T20" s="23" t="n">
        <x:f>R20-S20</x:f>
        <x:v>1.0024999999999995</x:v>
      </x:c>
      <x:c r="U20" s="22" t="str">
        <x:f>IF(S20=0,"NO COST ENTERED",IF(S20&lt;=R20,"WITHIN 75% TARGET","OVER 75% TARGET"))</x:f>
        <x:v>WITHIN 75% TARGET</x:v>
      </x:c>
      <x:c r="V20" s="12" t="n">
        <x:f>Q20-S20</x:f>
        <x:v>3.1499999999999995</x:v>
      </x:c>
      <x:c r="W20" s="48" t="n">
        <x:f>IF(S20=0,"",V20/S20)</x:f>
        <x:v>0.5790441176470587</x:v>
      </x:c>
    </x:row>
  </x:sheetData>
  <x:conditionalFormatting sqref="U2:U20">
    <x:cfRule type="expression" dxfId="0" priority="1">
      <x:formula>U2="WITHIN 75% TARGET"</x:formula>
    </x:cfRule>
    <x:cfRule type="expression" dxfId="1" priority="2">
      <x:formula>U2="OVER 75% TARGET"</x:formula>
    </x:cfRule>
    <x:cfRule type="expression" dxfId="2" priority="3">
      <x:formula>U2="NO COST ENTERED"</x:formula>
    </x:cfRule>
  </x:conditionalFormatting>
  <x:conditionalFormatting sqref="T2:T20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20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20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b96145709a47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29" t="str">
        <x:v>75% Auction-Sniping Summary</x:v>
      </x:c>
    </x:row>
    <x:row r="3">
      <x:c r="A3" s="36" t="str">
        <x:v>Metric</x:v>
      </x:c>
      <x:c r="B3" s="37" t="str">
        <x:v>Value</x:v>
      </x:c>
    </x:row>
    <x:row r="4">
      <x:c r="A4" s="38" t="str">
        <x:v>Cards</x:v>
      </x:c>
      <x:c r="B4" s="39" t="n">
        <x:f>COUNTA('Portfolio Review'!D2:D20)</x:f>
        <x:v>19</x:v>
      </x:c>
    </x:row>
    <x:row r="5">
      <x:c r="A5" s="38" t="str">
        <x:v>Cost entered</x:v>
      </x:c>
      <x:c r="B5" s="39" t="n">
        <x:f>COUNTIF('Portfolio Review'!U2:U20,"&lt;&gt;NO COST ENTERED")</x:f>
        <x:v>7</x:v>
      </x:c>
    </x:row>
    <x:row r="6">
      <x:c r="A6" s="38" t="str">
        <x:v>Within 75% target</x:v>
      </x:c>
      <x:c r="B6" s="39" t="n">
        <x:f>COUNTIF('Portfolio Review'!U2:U20,"WITHIN 75% TARGET")</x:f>
        <x:v>3</x:v>
      </x:c>
    </x:row>
    <x:row r="7">
      <x:c r="A7" s="40" t="str">
        <x:v>Over 75% target</x:v>
      </x:c>
      <x:c r="B7" s="41" t="n">
        <x:f>COUNTIF('Portfolio Review'!U2:U20,"OVER 75% TARGET")</x:f>
        <x:v>4</x:v>
      </x:c>
    </x:row>
    <x:row r="9">
      <x:c r="A9" s="51" t="str">
        <x:v>Portfolio value summary</x:v>
      </x:c>
      <x:c r="B9" s="52" t="str">
        <x:v>Value</x:v>
      </x:c>
    </x:row>
    <x:row r="10">
      <x:c r="A10" s="38" t="str">
        <x:v>Total cost paid</x:v>
      </x:c>
      <x:c r="B10" s="53" t="n">
        <x:f>SUM('Portfolio Review'!S2:S20)</x:f>
        <x:v>47.529999999999994</x:v>
      </x:c>
    </x:row>
    <x:row r="11">
      <x:c r="A11" s="38" t="str">
        <x:v>Current market value</x:v>
      </x:c>
      <x:c r="B11" s="53" t="n">
        <x:f>SUM('Portfolio Review'!Q2:Q20)</x:f>
        <x:v>65.78</x:v>
      </x:c>
    </x:row>
    <x:row r="12">
      <x:c r="A12" s="38" t="str">
        <x:v>Current delta</x:v>
      </x:c>
      <x:c r="B12" s="53" t="n">
        <x:f>B11-B10</x:f>
        <x:v>18.250000000000007</x:v>
      </x:c>
    </x:row>
    <x:row r="13">
      <x:c r="A13" s="40" t="str">
        <x:v>Current delta %</x:v>
      </x:c>
      <x:c r="B13" s="54" t="n">
        <x:f>IF(B10=0,"",B12/B10)</x:f>
        <x:v>0.38396802019777004</x:v>
      </x:c>
    </x:row>
  </x:sheetData>
  <x:mergeCells>
    <x:mergeCell ref="A1:D1"/>
  </x:mergeCells>
  <x:conditionalFormatting sqref="B12:B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" hidden="0" customWidth="1"/>
    <x:col min="4" max="4" width="24" hidden="0" customWidth="1"/>
    <x:col min="5" max="5" width="16" hidden="0" customWidth="1"/>
    <x:col min="6" max="6" width="34" hidden="0" customWidth="1"/>
  </x:cols>
  <x:sheetData>
    <x:row r="1" ht="30" customHeight="1">
      <x:c r="A1" s="58" t="str">
        <x:v>Pokémon Card Target Cost Checker</x:v>
      </x:c>
      <x:c r="B1" s="58"/>
      <x:c r="C1" s="58"/>
      <x:c r="D1" s="58"/>
      <x:c r="E1" s="58"/>
      <x:c r="F1" s="58"/>
    </x:row>
    <x:row r="2" ht="36" customHeight="1">
      <x:c r="A2" s="62" t="str">
        <x:v>Enter the delivered card cost and verified raw Near Mint market price. The result applies your auction-sniping margin rules.</x:v>
      </x:c>
      <x:c r="B2" s="62"/>
      <x:c r="C2" s="62"/>
      <x:c r="D2" s="62"/>
      <x:c r="E2" s="62"/>
      <x:c r="F2" s="62"/>
    </x:row>
    <x:row r="4">
      <x:c r="A4" s="65" t="str">
        <x:v>INPUTS</x:v>
      </x:c>
      <x:c r="B4" s="65"/>
      <x:c r="C4" s="65"/>
      <x:c r="D4" s="65"/>
      <x:c r="E4" s="65"/>
      <x:c r="F4" s="65"/>
    </x:row>
    <x:row r="5">
      <x:c r="A5" s="86" t="str">
        <x:v>Input</x:v>
      </x:c>
      <x:c r="B5" s="87" t="str">
        <x:v>Value</x:v>
      </x:c>
      <x:c r="D5" s="86" t="str">
        <x:v>Assumption</x:v>
      </x:c>
      <x:c r="E5" s="92" t="str">
        <x:v>Value</x:v>
      </x:c>
      <x:c r="F5" s="93"/>
    </x:row>
    <x:row r="6">
      <x:c r="A6" s="88" t="str">
        <x:v>Total card cost incl. postage (£)</x:v>
      </x:c>
      <x:c r="B6" s="89" t="n">
        <x:v>0</x:v>
      </x:c>
      <x:c r="D6" s="88" t="str">
        <x:v>Green target</x:v>
      </x:c>
      <x:c r="E6" s="94" t="n">
        <x:v>0.75</x:v>
      </x:c>
      <x:c r="F6" s="95" t="str">
        <x:v>Strong purchase margin</x:v>
      </x:c>
    </x:row>
    <x:row r="7">
      <x:c r="A7" s="88" t="str">
        <x:v>Verified market price (£)</x:v>
      </x:c>
      <x:c r="B7" s="89" t="n">
        <x:v>0</x:v>
      </x:c>
      <x:c r="D7" s="88" t="str">
        <x:v>Amber upper limit</x:v>
      </x:c>
      <x:c r="E7" s="94" t="n">
        <x:v>0.9</x:v>
      </x:c>
      <x:c r="F7" s="95" t="str">
        <x:v>Possible long-term hold; less safety margin</x:v>
      </x:c>
    </x:row>
    <x:row r="8">
      <x:c r="A8" s="90" t="str">
        <x:v>Card / notes (optional)</x:v>
      </x:c>
      <x:c r="B8" s="91" t="str"/>
      <x:c r="D8" s="90" t="str">
        <x:v>Red threshold</x:v>
      </x:c>
      <x:c r="E8" s="96" t="n">
        <x:v>0.9</x:v>
      </x:c>
      <x:c r="F8" s="97" t="str">
        <x:v>Too close to / above current market</x:v>
      </x:c>
    </x:row>
    <x:row r="10">
      <x:c r="A10" s="65" t="str">
        <x:v>CALCULATED TARGETS AND DECISION</x:v>
      </x:c>
      <x:c r="B10" s="65"/>
      <x:c r="C10" s="65"/>
      <x:c r="D10" s="65"/>
      <x:c r="E10" s="65"/>
      <x:c r="F10" s="65"/>
    </x:row>
    <x:row r="11">
      <x:c r="A11" s="86" t="str">
        <x:v>Metric</x:v>
      </x:c>
      <x:c r="B11" s="87" t="str">
        <x:v>Result</x:v>
      </x:c>
      <x:c r="D11" s="86" t="str">
        <x:v>HOW TO READ THE RESULT</x:v>
      </x:c>
      <x:c r="E11" s="92"/>
      <x:c r="F11" s="87"/>
    </x:row>
    <x:row r="12" ht="25" customHeight="1">
      <x:c r="A12" s="88" t="str">
        <x:v>75% target cost (£)</x:v>
      </x:c>
      <x:c r="B12" s="98" t="n">
        <x:f>B7*$E$6</x:f>
        <x:v>0</x:v>
      </x:c>
      <x:c r="D12" s="101" t="str">
        <x:v>GREEN: Your delivered cost is 75% or less of market value. This gives the strongest margin of safety.
AMBER: Your cost is above 75% but no more than 90% of market. It may still work as a long-term holding if the Pokémon, artwork, rarity, condition and demand are strong, but the card has less protection against a price fall.
RED: Your cost is above 90% of market. You are paying close to or above the current market price, leaving little room for resale costs or valuation errors.</x:v>
      </x:c>
      <x:c r="E12" s="102"/>
      <x:c r="F12" s="103"/>
    </x:row>
    <x:row r="13" ht="25" customHeight="1">
      <x:c r="A13" s="88" t="str">
        <x:v>90% amber ceiling (£)</x:v>
      </x:c>
      <x:c r="B13" s="98" t="n">
        <x:f>B7*$E$7</x:f>
        <x:v>0</x:v>
      </x:c>
      <x:c r="D13" s="101"/>
      <x:c r="E13" s="102"/>
      <x:c r="F13" s="103"/>
    </x:row>
    <x:row r="14" ht="25" customHeight="1">
      <x:c r="A14" s="88" t="str">
        <x:v>Your cost as % of market</x:v>
      </x:c>
      <x:c r="B14" s="99" t="str">
        <x:f>IF(B7=0,"",B6/B7)</x:f>
      </x:c>
      <x:c r="D14" s="101"/>
      <x:c r="E14" s="102"/>
      <x:c r="F14" s="103"/>
    </x:row>
    <x:row r="15" ht="25" customHeight="1">
      <x:c r="A15" s="88" t="str">
        <x:v>Difference vs 75% target (£)</x:v>
      </x:c>
      <x:c r="B15" s="98" t="n">
        <x:f>B12-B6</x:f>
        <x:v>0</x:v>
      </x:c>
      <x:c r="D15" s="101"/>
      <x:c r="E15" s="102"/>
      <x:c r="F15" s="103"/>
    </x:row>
    <x:row r="16" ht="25" customHeight="1">
      <x:c r="A16" s="88" t="str">
        <x:v>Current market delta (£)</x:v>
      </x:c>
      <x:c r="B16" s="98" t="n">
        <x:f>B7-B6</x:f>
        <x:v>0</x:v>
      </x:c>
      <x:c r="D16" s="101"/>
      <x:c r="E16" s="102"/>
      <x:c r="F16" s="103"/>
    </x:row>
    <x:row r="17" ht="25" customHeight="1">
      <x:c r="A17" s="88" t="str">
        <x:v>Potential upside to market (£)</x:v>
      </x:c>
      <x:c r="B17" s="98" t="n">
        <x:f>MAX(0,B7-B6)</x:f>
        <x:v>0</x:v>
      </x:c>
      <x:c r="D17" s="101"/>
      <x:c r="E17" s="102"/>
      <x:c r="F17" s="103"/>
    </x:row>
    <x:row r="18" ht="25" customHeight="1">
      <x:c r="A18" s="88" t="str">
        <x:v>Market growth needed to reach 25% margin</x:v>
      </x:c>
      <x:c r="B18" s="99" t="str">
        <x:f>IF(OR(B6=0,B7=0),"",MAX(0,(B6/$E$6)/B7-1))</x:f>
      </x:c>
      <x:c r="D18" s="104"/>
      <x:c r="E18" s="105"/>
      <x:c r="F18" s="106"/>
    </x:row>
    <x:row r="19" ht="30" customHeight="1">
      <x:c r="A19" s="90" t="str">
        <x:v>Purchase assessment</x:v>
      </x:c>
      <x:c r="B19" s="100" t="str">
        <x:f>IF(OR(B6&lt;=0,B7&lt;=0),"ENTER COST AND MARKET PRICE",IF(B6&lt;=B12,"GREEN — STRONG BUY",IF(B6&lt;=B13,"AMBER — LONG-TERM / AT RISK","RED — AVOID OR BID LOWER")))</x:f>
        <x:v>ENTER COST AND MARKET PRICE</x:v>
      </x:c>
    </x:row>
    <x:row r="21">
      <x:c r="A21" s="64" t="str">
        <x:v>LONG-TERM QUALITY CHECK — PRICE ALONE IS NOT ENOUGH</x:v>
      </x:c>
      <x:c r="B21" s="64"/>
      <x:c r="C21" s="64"/>
      <x:c r="D21" s="64"/>
      <x:c r="E21" s="64"/>
      <x:c r="F21" s="64"/>
    </x:row>
    <x:row r="22">
      <x:c r="A22" s="107" t="str">
        <x:v>Factor</x:v>
      </x:c>
      <x:c r="B22" s="108" t="str">
        <x:v>Good sign</x:v>
      </x:c>
      <x:c r="C22" s="109" t="str">
        <x:v>Risk sign</x:v>
      </x:c>
      <x:c r="D22" t="str"/>
      <x:c r="E22" t="str"/>
      <x:c r="F22" t="str"/>
    </x:row>
    <x:row r="23">
      <x:c r="A23" s="110" t="str">
        <x:v>Pokémon demand</x:v>
      </x:c>
      <x:c r="B23" s="111" t="str">
        <x:v>Pikachu, Eeveelutions, Charizard, Gengar, Mew</x:v>
      </x:c>
      <x:c r="C23" s="112" t="str">
        <x:v>Low-demand character</x:v>
      </x:c>
      <x:c r="D23" t="str"/>
      <x:c r="E23" t="str"/>
      <x:c r="F23" t="str"/>
    </x:row>
    <x:row r="24">
      <x:c r="A24" s="110" t="str">
        <x:v>Card type</x:v>
      </x:c>
      <x:c r="B24" s="111" t="str">
        <x:v>Vintage, promo, IR/SIR, attractive artwork</x:v>
      </x:c>
      <x:c r="C24" s="112" t="str">
        <x:v>Ordinary modern common</x:v>
      </x:c>
      <x:c r="D24" t="str"/>
      <x:c r="E24" t="str"/>
      <x:c r="F24" t="str"/>
    </x:row>
    <x:row r="25">
      <x:c r="A25" s="110" t="str">
        <x:v>Condition</x:v>
      </x:c>
      <x:c r="B25" s="111" t="str">
        <x:v>True Near Mint; clear front and back photos</x:v>
      </x:c>
      <x:c r="C25" s="112" t="str">
        <x:v>Whitening, dents, scratches</x:v>
      </x:c>
      <x:c r="D25" t="str"/>
      <x:c r="E25" t="str"/>
      <x:c r="F25" t="str"/>
    </x:row>
    <x:row r="26">
      <x:c r="A26" s="110" t="str">
        <x:v>Sales activity</x:v>
      </x:c>
      <x:c r="B26" s="111" t="str">
        <x:v>Several recent comparable sold listings</x:v>
      </x:c>
      <x:c r="C26" s="112" t="str">
        <x:v>Few sales or app-only valuation</x:v>
      </x:c>
      <x:c r="D26" t="str"/>
      <x:c r="E26" t="str"/>
      <x:c r="F26" t="str"/>
    </x:row>
    <x:row r="27">
      <x:c r="A27" s="113" t="str">
        <x:v>Variant accuracy</x:v>
      </x:c>
      <x:c r="B27" s="114" t="str">
        <x:v>Exact set, number, language and foil confirmed</x:v>
      </x:c>
      <x:c r="C27" s="115" t="str">
        <x:v>Variant or stamp uncertain</x:v>
      </x:c>
      <x:c r="D27" t="str"/>
      <x:c r="E27" t="str"/>
      <x:c r="F27" t="str"/>
    </x:row>
  </x:sheetData>
  <x:mergeCells>
    <x:mergeCell ref="A1:F1"/>
    <x:mergeCell ref="A2:F2"/>
    <x:mergeCell ref="A4:F4"/>
    <x:mergeCell ref="A10:F10"/>
    <x:mergeCell ref="D11:F11"/>
    <x:mergeCell ref="D12:F18"/>
    <x:mergeCell ref="A21:F21"/>
  </x:mergeCells>
  <x:conditionalFormatting sqref="B19:B19">
    <x:cfRule type="expression" dxfId="3" priority="1">
      <x:formula>LEFT(B19,5)="GREEN"</x:formula>
    </x:cfRule>
    <x:cfRule type="expression" dxfId="4" priority="2">
      <x:formula>LEFT(B19,5)="AMBER"</x:formula>
    </x:cfRule>
    <x:cfRule type="expression" dxfId="5" priority="3">
      <x:formula>LEFT(B19,3)="RED"</x:formula>
    </x:cfRule>
    <x:cfRule type="expression" dxfId="6" priority="4">
      <x:formula>LEFT(B19,5)="ENTER"</x:formula>
    </x:cfRule>
  </x:conditionalFormatting>
  <x:conditionalFormatting sqref="B14:B14">
    <x:cfRule type="expression" dxfId="7" priority="5">
      <x:formula>AND(ISNUMBER(B14),B14&lt;=$E$6)</x:formula>
    </x:cfRule>
    <x:cfRule type="expression" dxfId="8" priority="6">
      <x:formula>AND(ISNUMBER(B14),B14&gt;$E$6,B14&lt;=$E$7)</x:formula>
    </x:cfRule>
    <x:cfRule type="expression" dxfId="9" priority="7">
      <x:formula>AND(ISNUMBER(B14),B14&gt;$E$7)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30" hidden="0" customWidth="1"/>
    <x:col min="4" max="4" width="20" hidden="0" customWidth="1"/>
    <x:col min="5" max="5" width="16" hidden="0" customWidth="1"/>
    <x:col min="6" max="6" width="42" hidden="0" customWidth="1"/>
    <x:col min="7" max="7" width="23" hidden="0" customWidth="1"/>
    <x:col min="8" max="8" width="38" hidden="0" customWidth="1"/>
    <x:col min="9" max="9" width="36" hidden="0" customWidth="1"/>
    <x:col min="10" max="10" width="25" hidden="0" customWidth="1"/>
  </x:cols>
  <x:sheetData>
    <x:row r="1" ht="30" customHeight="1">
      <x:c r="A1" s="123" t="str">
        <x:v>Ranked eBay UK Auction Search Library — 150 Searches</x:v>
      </x:c>
      <x:c r="B1" s="123"/>
      <x:c r="C1" s="123"/>
      <x:c r="D1" s="123"/>
      <x:c r="E1" s="123"/>
      <x:c r="F1" s="123"/>
      <x:c r="G1" s="123"/>
      <x:c r="H1" s="123"/>
      <x:c r="I1" s="123"/>
      <x:c r="J1" s="123"/>
    </x:row>
    <x:row r="2" ht="34" customHeight="1">
      <x:c r="A2" s="126" t="str">
        <x:v>All links are configured for auction format and ending soonest. For dynamic searches, edit the Pokémon name below; every dynamic eBay link updates automatically.</x:v>
      </x:c>
      <x:c r="B2" s="126"/>
      <x:c r="C2" s="126"/>
      <x:c r="D2" s="126"/>
      <x:c r="E2" s="126"/>
      <x:c r="F2" s="126"/>
      <x:c r="G2" s="126"/>
      <x:c r="H2" s="126"/>
      <x:c r="I2" s="126"/>
      <x:c r="J2" s="126"/>
    </x:row>
    <x:row r="4">
      <x:c r="A4" s="128" t="str">
        <x:v>Editable Pokémon search name</x:v>
      </x:c>
      <x:c r="B4" s="130" t="str">
        <x:v>Pikachu</x:v>
      </x:c>
    </x:row>
    <x:row r="5">
      <x:c r="A5" s="128" t="str">
        <x:v>Link behaviour</x:v>
      </x:c>
      <x:c r="B5" s="132" t="str">
        <x:v>Rows marked YES use the name above</x:v>
      </x:c>
    </x:row>
    <x:row r="7" ht="36" customHeight="1">
      <x:c r="A7" s="143" t="str">
        <x:v>Rank</x:v>
      </x:c>
      <x:c r="B7" s="144" t="str">
        <x:v>Score</x:v>
      </x:c>
      <x:c r="C7" s="144" t="str">
        <x:v>Search title</x:v>
      </x:c>
      <x:c r="D7" s="144" t="str">
        <x:v>Strategy category</x:v>
      </x:c>
      <x:c r="E7" s="144" t="str">
        <x:v>Uses editable name?</x:v>
      </x:c>
      <x:c r="F7" s="144" t="str">
        <x:v>Search query preview</x:v>
      </x:c>
      <x:c r="G7" s="144" t="str">
        <x:v>Direct eBay link</x:v>
      </x:c>
      <x:c r="H7" s="144" t="str">
        <x:v>Why this search can work</x:v>
      </x:c>
      <x:c r="I7" s="144" t="str">
        <x:v>Main risk / check</x:v>
      </x:c>
      <x:c r="J7" s="145" t="str">
        <x:v>Auction settings</x:v>
      </x:c>
    </x:row>
    <x:row r="8">
      <x:c r="A8" s="146" t="n">
        <x:v>1</x:v>
      </x:c>
      <x:c r="B8" s="147" t="n">
        <x:v>100</x:v>
      </x:c>
      <x:c r="C8" s="148" t="str">
        <x:v>Name + card, auction only</x:v>
      </x:c>
      <x:c r="D8" s="148" t="str">
        <x:v>Targeted</x:v>
      </x:c>
      <x:c r="E8" s="149" t="str">
        <x:v>YES</x:v>
      </x:c>
      <x:c r="F8" s="149" t="str">
        <x:f>TRIM($B$4&amp;" card -PSA -CGC -BGS -graded -slab -proxy -custom")</x:f>
        <x:v>Pikachu card -PSA -CGC -BGS -graded -slab -proxy -custom</x:v>
      </x:c>
      <x:c r="G8" s="150" t="e">
        <x:f>HYPERLINK("https://www.ebay.co.uk/sch/i.html?_nkw="&amp;SUBSTITUTE(TRIM($B$4&amp;" card -PSA -CGC -BGS -graded -slab -proxy -custom")," ","+")&amp;"&amp;LH_Auction=1&amp;_sop=1","Open eBay auction search")</x:f>
      </x:c>
      <x:c r="H8" s="148" t="str">
        <x:v>Catches simple listings without set or number.</x:v>
      </x:c>
      <x:c r="I8" s="148" t="str">
        <x:v>Check exact variant and condition.</x:v>
      </x:c>
      <x:c r="J8" s="151" t="str">
        <x:v>Auction • Ending soonest • Raw-focused</x:v>
      </x:c>
    </x:row>
    <x:row r="9">
      <x:c r="A9" s="146" t="n">
        <x:v>2</x:v>
      </x:c>
      <x:c r="B9" s="147" t="n">
        <x:v>100</x:v>
      </x:c>
      <x:c r="C9" s="148" t="str">
        <x:v>Misspelled Pokémon name + card</x:v>
      </x:c>
      <x:c r="D9" s="148" t="str">
        <x:v>Typo</x:v>
      </x:c>
      <x:c r="E9" s="149" t="str">
        <x:v>YES</x:v>
      </x:c>
      <x:c r="F9" s="149" t="str">
        <x:f>TRIM($B$4&amp;" card -PSA -CGC -BGS -graded -slab -proxy -custom")</x:f>
        <x:v>Pikachu card -PSA -CGC -BGS -graded -slab -proxy -custom</x:v>
      </x:c>
      <x:c r="G9" s="150" t="e">
        <x:f>HYPERLINK("https://www.ebay.co.uk/sch/i.html?_nkw="&amp;SUBSTITUTE(TRIM($B$4&amp;" card -PSA -CGC -BGS -graded -slab -proxy -custom")," ","+")&amp;"&amp;LH_Auction=1&amp;_sop=1","Open eBay auction search")</x:f>
      </x:c>
      <x:c r="H9" s="148" t="str">
        <x:v>Misspellings can reduce bidder visibility.</x:v>
      </x:c>
      <x:c r="I9" s="148" t="str">
        <x:v>Requires manually entering the typo in the name cell.</x:v>
      </x:c>
      <x:c r="J9" s="151" t="str">
        <x:v>Auction • Ending soonest • Raw-focused</x:v>
      </x:c>
    </x:row>
    <x:row r="10">
      <x:c r="A10" s="146" t="n">
        <x:v>3</x:v>
      </x:c>
      <x:c r="B10" s="147" t="n">
        <x:v>99</x:v>
      </x:c>
      <x:c r="C10" s="148" t="str">
        <x:v>Name + old card</x:v>
      </x:c>
      <x:c r="D10" s="148" t="str">
        <x:v>Targeted</x:v>
      </x:c>
      <x:c r="E10" s="149" t="str">
        <x:v>YES</x:v>
      </x:c>
      <x:c r="F10" s="149" t="str">
        <x:f>TRIM($B$4&amp;" old card -PSA -CGC -BGS -graded -slab -proxy -custom")</x:f>
        <x:v>Pikachu old card -PSA -CGC -BGS -graded -slab -proxy -custom</x:v>
      </x:c>
      <x:c r="G10" s="150" t="e">
        <x:f>HYPERLINK("https://www.ebay.co.uk/sch/i.html?_nkw="&amp;SUBSTITUTE(TRIM($B$4&amp;" old card -PSA -CGC -BGS -graded -slab -proxy -custom")," ","+")&amp;"&amp;LH_Auction=1&amp;_sop=1","Open eBay auction search")</x:f>
      </x:c>
      <x:c r="H10" s="148" t="str">
        <x:v>Finds older cards where sellers omit set and number.</x:v>
      </x:c>
      <x:c r="I10" s="148" t="str">
        <x:v>“Old” may include modern cards.</x:v>
      </x:c>
      <x:c r="J10" s="151" t="str">
        <x:v>Auction • Ending soonest • Raw-focused</x:v>
      </x:c>
    </x:row>
    <x:row r="11">
      <x:c r="A11" s="146" t="n">
        <x:v>4</x:v>
      </x:c>
      <x:c r="B11" s="147" t="n">
        <x:v>99</x:v>
      </x:c>
      <x:c r="C11" s="148" t="str">
        <x:v>Name + vintage card</x:v>
      </x:c>
      <x:c r="D11" s="148" t="str">
        <x:v>Targeted</x:v>
      </x:c>
      <x:c r="E11" s="149" t="str">
        <x:v>YES</x:v>
      </x:c>
      <x:c r="F11" s="149" t="str">
        <x:f>TRIM($B$4&amp;" vintage card -PSA -CGC -BGS -graded -slab -proxy -custom")</x:f>
        <x:v>Pikachu vintage card -PSA -CGC -BGS -graded -slab -proxy -custom</x:v>
      </x:c>
      <x:c r="G11" s="150" t="e">
        <x:f>HYPERLINK("https://www.ebay.co.uk/sch/i.html?_nkw="&amp;SUBSTITUTE(TRIM($B$4&amp;" vintage card -PSA -CGC -BGS -graded -slab -proxy -custom")," ","+")&amp;"&amp;LH_Auction=1&amp;_sop=1","Open eBay auction search")</x:f>
      </x:c>
      <x:c r="H11" s="148" t="str">
        <x:v>Targets WOTC and older-era listings without exact identifiers.</x:v>
      </x:c>
      <x:c r="I11" s="148" t="str">
        <x:v>Many sellers misuse “vintage”.</x:v>
      </x:c>
      <x:c r="J11" s="151" t="str">
        <x:v>Auction • Ending soonest • Raw-focused</x:v>
      </x:c>
    </x:row>
    <x:row r="12">
      <x:c r="A12" s="146" t="n">
        <x:v>5</x:v>
      </x:c>
      <x:c r="B12" s="147" t="n">
        <x:v>99</x:v>
      </x:c>
      <x:c r="C12" s="148" t="str">
        <x:v>Name + holo card</x:v>
      </x:c>
      <x:c r="D12" s="148" t="str">
        <x:v>Targeted</x:v>
      </x:c>
      <x:c r="E12" s="149" t="str">
        <x:v>YES</x:v>
      </x:c>
      <x:c r="F12" s="149" t="str">
        <x:f>TRIM($B$4&amp;" holo card -PSA -CGC -BGS -graded -slab -proxy -custom")</x:f>
        <x:v>Pikachu holo card -PSA -CGC -BGS -graded -slab -proxy -custom</x:v>
      </x:c>
      <x:c r="G12" s="150" t="e">
        <x:f>HYPERLINK("https://www.ebay.co.uk/sch/i.html?_nkw="&amp;SUBSTITUTE(TRIM($B$4&amp;" holo card -PSA -CGC -BGS -graded -slab -proxy -custom")," ","+")&amp;"&amp;LH_Auction=1&amp;_sop=1","Open eBay auction search")</x:f>
      </x:c>
      <x:c r="H12" s="148" t="str">
        <x:v>Finds vague holo listings without card number.</x:v>
      </x:c>
      <x:c r="I12" s="148" t="str">
        <x:v>Confirm holo vs reverse holo.</x:v>
      </x:c>
      <x:c r="J12" s="151" t="str">
        <x:v>Auction • Ending soonest • Raw-focused</x:v>
      </x:c>
    </x:row>
    <x:row r="13">
      <x:c r="A13" s="146" t="n">
        <x:v>6</x:v>
      </x:c>
      <x:c r="B13" s="147" t="n">
        <x:v>98</x:v>
      </x:c>
      <x:c r="C13" s="148" t="str">
        <x:v>Name + shiny card</x:v>
      </x:c>
      <x:c r="D13" s="148" t="str">
        <x:v>Vague wording</x:v>
      </x:c>
      <x:c r="E13" s="149" t="str">
        <x:v>YES</x:v>
      </x:c>
      <x:c r="F13" s="149" t="str">
        <x:f>TRIM($B$4&amp;" shiny card -PSA -CGC -BGS -graded -slab -proxy -custom")</x:f>
        <x:v>Pikachu shiny card -PSA -CGC -BGS -graded -slab -proxy -custom</x:v>
      </x:c>
      <x:c r="G13" s="150" t="e">
        <x:f>HYPERLINK("https://www.ebay.co.uk/sch/i.html?_nkw="&amp;SUBSTITUTE(TRIM($B$4&amp;" shiny card -PSA -CGC -BGS -graded -slab -proxy -custom")," ","+")&amp;"&amp;LH_Auction=1&amp;_sop=1","Open eBay auction search")</x:f>
      </x:c>
      <x:c r="H13" s="148" t="str">
        <x:v>Non-collectors often call any foil card shiny.</x:v>
      </x:c>
      <x:c r="I13" s="148" t="str">
        <x:v>May include actual Shiny Pokémon cards.</x:v>
      </x:c>
      <x:c r="J13" s="151" t="str">
        <x:v>Auction • Ending soonest • Raw-focused</x:v>
      </x:c>
    </x:row>
    <x:row r="14">
      <x:c r="A14" s="146" t="n">
        <x:v>7</x:v>
      </x:c>
      <x:c r="B14" s="147" t="n">
        <x:v>98</x:v>
      </x:c>
      <x:c r="C14" s="148" t="str">
        <x:v>Name + rare card</x:v>
      </x:c>
      <x:c r="D14" s="148" t="str">
        <x:v>Vague wording</x:v>
      </x:c>
      <x:c r="E14" s="149" t="str">
        <x:v>YES</x:v>
      </x:c>
      <x:c r="F14" s="149" t="str">
        <x:f>TRIM($B$4&amp;" rare card -PSA -CGC -BGS -graded -slab -proxy -custom")</x:f>
        <x:v>Pikachu rare card -PSA -CGC -BGS -graded -slab -proxy -custom</x:v>
      </x:c>
      <x:c r="G14" s="150" t="e">
        <x:f>HYPERLINK("https://www.ebay.co.uk/sch/i.html?_nkw="&amp;SUBSTITUTE(TRIM($B$4&amp;" rare card -PSA -CGC -BGS -graded -slab -proxy -custom")," ","+")&amp;"&amp;LH_Auction=1&amp;_sop=1","Open eBay auction search")</x:f>
      </x:c>
      <x:c r="H14" s="148" t="str">
        <x:v>Catches weak titles with no rarity or number.</x:v>
      </x:c>
      <x:c r="I14" s="148" t="str">
        <x:v>“Rare” is frequently meaningless.</x:v>
      </x:c>
      <x:c r="J14" s="151" t="str">
        <x:v>Auction • Ending soonest • Raw-focused</x:v>
      </x:c>
    </x:row>
    <x:row r="15">
      <x:c r="A15" s="146" t="n">
        <x:v>8</x:v>
      </x:c>
      <x:c r="B15" s="147" t="n">
        <x:v>98</x:v>
      </x:c>
      <x:c r="C15" s="148" t="str">
        <x:v>Name + promo card</x:v>
      </x:c>
      <x:c r="D15" s="148" t="str">
        <x:v>Targeted</x:v>
      </x:c>
      <x:c r="E15" s="149" t="str">
        <x:v>YES</x:v>
      </x:c>
      <x:c r="F15" s="149" t="str">
        <x:f>TRIM($B$4&amp;" promo card -PSA -CGC -BGS -graded -slab -proxy -custom")</x:f>
        <x:v>Pikachu promo card -PSA -CGC -BGS -graded -slab -proxy -custom</x:v>
      </x:c>
      <x:c r="G15" s="150" t="e">
        <x:f>HYPERLINK("https://www.ebay.co.uk/sch/i.html?_nkw="&amp;SUBSTITUTE(TRIM($B$4&amp;" promo card -PSA -CGC -BGS -graded -slab -proxy -custom")," ","+")&amp;"&amp;LH_Auction=1&amp;_sop=1","Open eBay auction search")</x:f>
      </x:c>
      <x:c r="H15" s="148" t="str">
        <x:v>Useful for unnumbered or poorly identified promos.</x:v>
      </x:c>
      <x:c r="I15" s="148" t="str">
        <x:v>Check stamped and unstamped variants.</x:v>
      </x:c>
      <x:c r="J15" s="151" t="str">
        <x:v>Auction • Ending soonest • Raw-focused</x:v>
      </x:c>
    </x:row>
    <x:row r="16">
      <x:c r="A16" s="146" t="n">
        <x:v>9</x:v>
      </x:c>
      <x:c r="B16" s="147" t="n">
        <x:v>97</x:v>
      </x:c>
      <x:c r="C16" s="148" t="str">
        <x:v>Name + full art</x:v>
      </x:c>
      <x:c r="D16" s="148" t="str">
        <x:v>Mislabelled rarity</x:v>
      </x:c>
      <x:c r="E16" s="149" t="str">
        <x:v>YES</x:v>
      </x:c>
      <x:c r="F16" s="149" t="str">
        <x:f>TRIM($B$4&amp;" full art -PSA -CGC -BGS -graded -slab -proxy -custom")</x:f>
        <x:v>Pikachu full art -PSA -CGC -BGS -graded -slab -proxy -custom</x:v>
      </x:c>
      <x:c r="G16" s="150" t="e">
        <x:f>HYPERLINK("https://www.ebay.co.uk/sch/i.html?_nkw="&amp;SUBSTITUTE(TRIM($B$4&amp;" full art -PSA -CGC -BGS -graded -slab -proxy -custom")," ","+")&amp;"&amp;LH_Auction=1&amp;_sop=1","Open eBay auction search")</x:f>
      </x:c>
      <x:c r="H16" s="148" t="str">
        <x:v>Sellers often call IR, SIR and Trainer Gallery cards full art.</x:v>
      </x:c>
      <x:c r="I16" s="148" t="str">
        <x:v>Verify the actual rarity.</x:v>
      </x:c>
      <x:c r="J16" s="151" t="str">
        <x:v>Auction • Ending soonest • Raw-focused</x:v>
      </x:c>
    </x:row>
    <x:row r="17">
      <x:c r="A17" s="146" t="n">
        <x:v>10</x:v>
      </x:c>
      <x:c r="B17" s="147" t="n">
        <x:v>97</x:v>
      </x:c>
      <x:c r="C17" s="148" t="str">
        <x:v>Name + art card</x:v>
      </x:c>
      <x:c r="D17" s="148" t="str">
        <x:v>Vague wording</x:v>
      </x:c>
      <x:c r="E17" s="149" t="str">
        <x:v>YES</x:v>
      </x:c>
      <x:c r="F17" s="149" t="str">
        <x:f>TRIM($B$4&amp;" art card -PSA -CGC -BGS -graded -slab -proxy -custom")</x:f>
        <x:v>Pikachu art card -PSA -CGC -BGS -graded -slab -proxy -custom</x:v>
      </x:c>
      <x:c r="G17" s="150" t="e">
        <x:f>HYPERLINK("https://www.ebay.co.uk/sch/i.html?_nkw="&amp;SUBSTITUTE(TRIM($B$4&amp;" art card -PSA -CGC -BGS -graded -slab -proxy -custom")," ","+")&amp;"&amp;LH_Auction=1&amp;_sop=1","Open eBay auction search")</x:f>
      </x:c>
      <x:c r="H17" s="148" t="str">
        <x:v>Can uncover Illustration Rares described informally.</x:v>
      </x:c>
      <x:c r="I17" s="148" t="str">
        <x:v>Broad search.</x:v>
      </x:c>
      <x:c r="J17" s="151" t="str">
        <x:v>Auction • Ending soonest • Raw-focused</x:v>
      </x:c>
    </x:row>
    <x:row r="18">
      <x:c r="A18" s="146" t="n">
        <x:v>11</x:v>
      </x:c>
      <x:c r="B18" s="147" t="n">
        <x:v>97</x:v>
      </x:c>
      <x:c r="C18" s="148" t="str">
        <x:v>Name + Pokémon single</x:v>
      </x:c>
      <x:c r="D18" s="148" t="str">
        <x:v>Targeted</x:v>
      </x:c>
      <x:c r="E18" s="149" t="str">
        <x:v>YES</x:v>
      </x:c>
      <x:c r="F18" s="149" t="str">
        <x:f>TRIM($B$4&amp;" pokemon single -PSA -CGC -BGS -graded -slab -proxy -custom")</x:f>
        <x:v>Pikachu pokemon single -PSA -CGC -BGS -graded -slab -proxy -custom</x:v>
      </x:c>
      <x:c r="G18" s="150" t="e">
        <x:f>HYPERLINK("https://www.ebay.co.uk/sch/i.html?_nkw="&amp;SUBSTITUTE(TRIM($B$4&amp;" pokemon single -PSA -CGC -BGS -graded -slab -proxy -custom")," ","+")&amp;"&amp;LH_Auction=1&amp;_sop=1","Open eBay auction search")</x:f>
      </x:c>
      <x:c r="H18" s="148" t="str">
        <x:v>Targets individual cards without set information.</x:v>
      </x:c>
      <x:c r="I18" s="148" t="str">
        <x:v>May include low-value modern cards.</x:v>
      </x:c>
      <x:c r="J18" s="151" t="str">
        <x:v>Auction • Ending soonest • Raw-focused</x:v>
      </x:c>
    </x:row>
    <x:row r="19">
      <x:c r="A19" s="146" t="n">
        <x:v>12</x:v>
      </x:c>
      <x:c r="B19" s="147" t="n">
        <x:v>96</x:v>
      </x:c>
      <x:c r="C19" s="148" t="str">
        <x:v>Name + first edition</x:v>
      </x:c>
      <x:c r="D19" s="148" t="str">
        <x:v>Targeted</x:v>
      </x:c>
      <x:c r="E19" s="149" t="str">
        <x:v>YES</x:v>
      </x:c>
      <x:c r="F19" s="149" t="str">
        <x:f>TRIM($B$4&amp;" first edition -PSA -CGC -BGS -graded -slab -proxy -custom")</x:f>
        <x:v>Pikachu first edition -PSA -CGC -BGS -graded -slab -proxy -custom</x:v>
      </x:c>
      <x:c r="G19" s="150" t="e">
        <x:f>HYPERLINK("https://www.ebay.co.uk/sch/i.html?_nkw="&amp;SUBSTITUTE(TRIM($B$4&amp;" first edition -PSA -CGC -BGS -graded -slab -proxy -custom")," ","+")&amp;"&amp;LH_Auction=1&amp;_sop=1","Open eBay auction search")</x:f>
      </x:c>
      <x:c r="H19" s="148" t="str">
        <x:v>Finds listings missing card number and set.</x:v>
      </x:c>
      <x:c r="I19" s="148" t="str">
        <x:v>Confirm the physical 1st Edition stamp.</x:v>
      </x:c>
      <x:c r="J19" s="151" t="str">
        <x:v>Auction • Ending soonest • Raw-focused</x:v>
      </x:c>
    </x:row>
    <x:row r="20">
      <x:c r="A20" s="146" t="n">
        <x:v>13</x:v>
      </x:c>
      <x:c r="B20" s="147" t="n">
        <x:v>96</x:v>
      </x:c>
      <x:c r="C20" s="148" t="str">
        <x:v>Name + 1st edition card</x:v>
      </x:c>
      <x:c r="D20" s="148" t="str">
        <x:v>Targeted</x:v>
      </x:c>
      <x:c r="E20" s="149" t="str">
        <x:v>YES</x:v>
      </x:c>
      <x:c r="F20" s="149" t="str">
        <x:f>TRIM($B$4&amp;" 1st edition card -PSA -CGC -BGS -graded -slab -proxy -custom")</x:f>
        <x:v>Pikachu 1st edition card -PSA -CGC -BGS -graded -slab -proxy -custom</x:v>
      </x:c>
      <x:c r="G20" s="150" t="e">
        <x:f>HYPERLINK("https://www.ebay.co.uk/sch/i.html?_nkw="&amp;SUBSTITUTE(TRIM($B$4&amp;" 1st edition card -PSA -CGC -BGS -graded -slab -proxy -custom")," ","+")&amp;"&amp;LH_Auction=1&amp;_sop=1","Open eBay auction search")</x:f>
      </x:c>
      <x:c r="H20" s="148" t="str">
        <x:v>Alternative wording for first-edition listings.</x:v>
      </x:c>
      <x:c r="I20" s="148" t="str">
        <x:v>High counterfeit and condition risk.</x:v>
      </x:c>
      <x:c r="J20" s="151" t="str">
        <x:v>Auction • Ending soonest • Raw-focused</x:v>
      </x:c>
    </x:row>
    <x:row r="21">
      <x:c r="A21" s="146" t="n">
        <x:v>14</x:v>
      </x:c>
      <x:c r="B21" s="147" t="n">
        <x:v>96</x:v>
      </x:c>
      <x:c r="C21" s="148" t="str">
        <x:v>Name + 1999 card</x:v>
      </x:c>
      <x:c r="D21" s="148" t="str">
        <x:v>Targeted</x:v>
      </x:c>
      <x:c r="E21" s="149" t="str">
        <x:v>YES</x:v>
      </x:c>
      <x:c r="F21" s="149" t="str">
        <x:f>TRIM($B$4&amp;" 1999 card -PSA -CGC -BGS -graded -slab -proxy -custom")</x:f>
        <x:v>Pikachu 1999 card -PSA -CGC -BGS -graded -slab -proxy -custom</x:v>
      </x:c>
      <x:c r="G21" s="150" t="e">
        <x:f>HYPERLINK("https://www.ebay.co.uk/sch/i.html?_nkw="&amp;SUBSTITUTE(TRIM($B$4&amp;" 1999 card -PSA -CGC -BGS -graded -slab -proxy -custom")," ","+")&amp;"&amp;LH_Auction=1&amp;_sop=1","Open eBay auction search")</x:f>
      </x:c>
      <x:c r="H21" s="148" t="str">
        <x:v>Targets early-era cards with weak descriptions.</x:v>
      </x:c>
      <x:c r="I21" s="148" t="str">
        <x:v>Confirm correct year and set.</x:v>
      </x:c>
      <x:c r="J21" s="151" t="str">
        <x:v>Auction • Ending soonest • Raw-focused</x:v>
      </x:c>
    </x:row>
    <x:row r="22">
      <x:c r="A22" s="146" t="n">
        <x:v>15</x:v>
      </x:c>
      <x:c r="B22" s="147" t="n">
        <x:v>95</x:v>
      </x:c>
      <x:c r="C22" s="148" t="str">
        <x:v>Name + 2000 card</x:v>
      </x:c>
      <x:c r="D22" s="148" t="str">
        <x:v>Targeted</x:v>
      </x:c>
      <x:c r="E22" s="149" t="str">
        <x:v>YES</x:v>
      </x:c>
      <x:c r="F22" s="149" t="str">
        <x:f>TRIM($B$4&amp;" 2000 card -PSA -CGC -BGS -graded -slab -proxy -custom")</x:f>
        <x:v>Pikachu 2000 card -PSA -CGC -BGS -graded -slab -proxy -custom</x:v>
      </x:c>
      <x:c r="G22" s="150" t="e">
        <x:f>HYPERLINK("https://www.ebay.co.uk/sch/i.html?_nkw="&amp;SUBSTITUTE(TRIM($B$4&amp;" 2000 card -PSA -CGC -BGS -graded -slab -proxy -custom")," ","+")&amp;"&amp;LH_Auction=1&amp;_sop=1","Open eBay auction search")</x:f>
      </x:c>
      <x:c r="H22" s="148" t="str">
        <x:v>Useful for Team Rocket, Gym and Neo-era cards.</x:v>
      </x:c>
      <x:c r="I22" s="148" t="str">
        <x:v>Year may be copied incorrectly.</x:v>
      </x:c>
      <x:c r="J22" s="151" t="str">
        <x:v>Auction • Ending soonest • Raw-focused</x:v>
      </x:c>
    </x:row>
    <x:row r="23">
      <x:c r="A23" s="146" t="n">
        <x:v>16</x:v>
      </x:c>
      <x:c r="B23" s="147" t="n">
        <x:v>95</x:v>
      </x:c>
      <x:c r="C23" s="148" t="str">
        <x:v>Name + WOTC card</x:v>
      </x:c>
      <x:c r="D23" s="148" t="str">
        <x:v>Targeted</x:v>
      </x:c>
      <x:c r="E23" s="149" t="str">
        <x:v>YES</x:v>
      </x:c>
      <x:c r="F23" s="149" t="str">
        <x:f>TRIM($B$4&amp;" WOTC card -PSA -CGC -BGS -graded -slab -proxy -custom")</x:f>
        <x:v>Pikachu WOTC card -PSA -CGC -BGS -graded -slab -proxy -custom</x:v>
      </x:c>
      <x:c r="G23" s="150" t="e">
        <x:f>HYPERLINK("https://www.ebay.co.uk/sch/i.html?_nkw="&amp;SUBSTITUTE(TRIM($B$4&amp;" WOTC card -PSA -CGC -BGS -graded -slab -proxy -custom")," ","+")&amp;"&amp;LH_Auction=1&amp;_sop=1","Open eBay auction search")</x:f>
      </x:c>
      <x:c r="H23" s="148" t="str">
        <x:v>Finds Wizards-era cards without exact set details.</x:v>
      </x:c>
      <x:c r="I23" s="148" t="str">
        <x:v>Some sellers use WOTC loosely.</x:v>
      </x:c>
      <x:c r="J23" s="151" t="str">
        <x:v>Auction • Ending soonest • Raw-focused</x:v>
      </x:c>
    </x:row>
    <x:row r="24">
      <x:c r="A24" s="146" t="n">
        <x:v>17</x:v>
      </x:c>
      <x:c r="B24" s="147" t="n">
        <x:v>95</x:v>
      </x:c>
      <x:c r="C24" s="148" t="str">
        <x:v>Name + Wizards card</x:v>
      </x:c>
      <x:c r="D24" s="148" t="str">
        <x:v>Targeted</x:v>
      </x:c>
      <x:c r="E24" s="149" t="str">
        <x:v>YES</x:v>
      </x:c>
      <x:c r="F24" s="149" t="str">
        <x:f>TRIM($B$4&amp;" Wizards card -PSA -CGC -BGS -graded -slab -proxy -custom")</x:f>
        <x:v>Pikachu Wizards card -PSA -CGC -BGS -graded -slab -proxy -custom</x:v>
      </x:c>
      <x:c r="G24" s="150" t="e">
        <x:f>HYPERLINK("https://www.ebay.co.uk/sch/i.html?_nkw="&amp;SUBSTITUTE(TRIM($B$4&amp;" Wizards card -PSA -CGC -BGS -graded -slab -proxy -custom")," ","+")&amp;"&amp;LH_Auction=1&amp;_sop=1","Open eBay auction search")</x:f>
      </x:c>
      <x:c r="H24" s="148" t="str">
        <x:v>Alternative term for WOTC-era listings.</x:v>
      </x:c>
      <x:c r="I24" s="148" t="str">
        <x:v>May include non-Pokémon Wizards products.</x:v>
      </x:c>
      <x:c r="J24" s="151" t="str">
        <x:v>Auction • Ending soonest • Raw-focused</x:v>
      </x:c>
    </x:row>
    <x:row r="25">
      <x:c r="A25" s="146" t="n">
        <x:v>18</x:v>
      </x:c>
      <x:c r="B25" s="147" t="n">
        <x:v>94</x:v>
      </x:c>
      <x:c r="C25" s="148" t="str">
        <x:v>Name + no number</x:v>
      </x:c>
      <x:c r="D25" s="148" t="str">
        <x:v>Vague wording</x:v>
      </x:c>
      <x:c r="E25" s="149" t="str">
        <x:v>YES</x:v>
      </x:c>
      <x:c r="F25" s="149" t="str">
        <x:f>TRIM($B$4&amp;" pokemon card no number -PSA -CGC -BGS -graded -slab -proxy -custom")</x:f>
        <x:v>Pikachu pokemon card no number -PSA -CGC -BGS -graded -slab -proxy -custom</x:v>
      </x:c>
      <x:c r="G25" s="150" t="e">
        <x:f>HYPERLINK("https://www.ebay.co.uk/sch/i.html?_nkw="&amp;SUBSTITUTE(TRIM($B$4&amp;" pokemon card no number -PSA -CGC -BGS -graded -slab -proxy -custom")," ","+")&amp;"&amp;LH_Auction=1&amp;_sop=1","Open eBay auction search")</x:f>
      </x:c>
      <x:c r="H25" s="148" t="str">
        <x:v>Targets listings where seller omits card identification.</x:v>
      </x:c>
      <x:c r="I25" s="148" t="str">
        <x:v>Phrase itself may be uncommon.</x:v>
      </x:c>
      <x:c r="J25" s="151" t="str">
        <x:v>Auction • Ending soonest • Raw-focused</x:v>
      </x:c>
    </x:row>
    <x:row r="26">
      <x:c r="A26" s="146" t="n">
        <x:v>19</x:v>
      </x:c>
      <x:c r="B26" s="147" t="n">
        <x:v>94</x:v>
      </x:c>
      <x:c r="C26" s="148" t="str">
        <x:v>Name + collection card</x:v>
      </x:c>
      <x:c r="D26" s="148" t="str">
        <x:v>Vague wording</x:v>
      </x:c>
      <x:c r="E26" s="149" t="str">
        <x:v>YES</x:v>
      </x:c>
      <x:c r="F26" s="149" t="str">
        <x:f>TRIM($B$4&amp;" collection card -PSA -CGC -BGS -graded -slab -proxy -custom")</x:f>
        <x:v>Pikachu collection card -PSA -CGC -BGS -graded -slab -proxy -custom</x:v>
      </x:c>
      <x:c r="G26" s="150" t="e">
        <x:f>HYPERLINK("https://www.ebay.co.uk/sch/i.html?_nkw="&amp;SUBSTITUTE(TRIM($B$4&amp;" collection card -PSA -CGC -BGS -graded -slab -proxy -custom")," ","+")&amp;"&amp;LH_Auction=1&amp;_sop=1","Open eBay auction search")</x:f>
      </x:c>
      <x:c r="H26" s="148" t="str">
        <x:v>Finds singles described as collection items.</x:v>
      </x:c>
      <x:c r="I26" s="148" t="str">
        <x:v>Can include graded or custom items.</x:v>
      </x:c>
      <x:c r="J26" s="151" t="str">
        <x:v>Auction • Ending soonest • Raw-focused</x:v>
      </x:c>
    </x:row>
    <x:row r="27">
      <x:c r="A27" s="146" t="n">
        <x:v>20</x:v>
      </x:c>
      <x:c r="B27" s="147" t="n">
        <x:v>94</x:v>
      </x:c>
      <x:c r="C27" s="148" t="str">
        <x:v>Name + trading card</x:v>
      </x:c>
      <x:c r="D27" s="148" t="str">
        <x:v>Targeted</x:v>
      </x:c>
      <x:c r="E27" s="149" t="str">
        <x:v>YES</x:v>
      </x:c>
      <x:c r="F27" s="149" t="str">
        <x:f>TRIM($B$4&amp;" trading card -PSA -CGC -BGS -graded -slab -proxy -custom")</x:f>
        <x:v>Pikachu trading card -PSA -CGC -BGS -graded -slab -proxy -custom</x:v>
      </x:c>
      <x:c r="G27" s="150" t="e">
        <x:f>HYPERLINK("https://www.ebay.co.uk/sch/i.html?_nkw="&amp;SUBSTITUTE(TRIM($B$4&amp;" trading card -PSA -CGC -BGS -graded -slab -proxy -custom")," ","+")&amp;"&amp;LH_Auction=1&amp;_sop=1","Open eBay auction search")</x:f>
      </x:c>
      <x:c r="H27" s="148" t="str">
        <x:v>Simple wording used by casual sellers.</x:v>
      </x:c>
      <x:c r="I27" s="148" t="str">
        <x:v>May include non-Pokémon products.</x:v>
      </x:c>
      <x:c r="J27" s="151" t="str">
        <x:v>Auction • Ending soonest • Raw-focused</x:v>
      </x:c>
    </x:row>
    <x:row r="28">
      <x:c r="A28" s="146" t="n">
        <x:v>21</x:v>
      </x:c>
      <x:c r="B28" s="147" t="n">
        <x:v>93</x:v>
      </x:c>
      <x:c r="C28" s="148" t="str">
        <x:v>Name + card only, exclude graded</x:v>
      </x:c>
      <x:c r="D28" s="148" t="str">
        <x:v>Targeted</x:v>
      </x:c>
      <x:c r="E28" s="149" t="str">
        <x:v>YES</x:v>
      </x:c>
      <x:c r="F28" s="149" t="str">
        <x:f>TRIM($B$4&amp;" pokemon card -PSA -CGC -BGS -graded -slab -PSA -CGC -BGS -graded -slab -proxy -custom")</x:f>
        <x:v>Pikachu pokemon card -PSA -CGC -BGS -graded -slab -PSA -CGC -BGS -graded -slab -proxy -custom</x:v>
      </x:c>
      <x:c r="G28" s="150" t="e">
        <x:f>HYPERLINK("https://www.ebay.co.uk/sch/i.html?_nkw="&amp;SUBSTITUTE(TRIM($B$4&amp;" pokemon card -PSA -CGC -BGS -graded -slab -PSA -CGC -BGS -graded -slab -proxy -custom")," ","+")&amp;"&amp;LH_Auction=1&amp;_sop=1","Open eBay auction search")</x:f>
      </x:c>
      <x:c r="H28" s="148" t="str">
        <x:v>Maximises raw-card results.</x:v>
      </x:c>
      <x:c r="I28" s="148" t="str">
        <x:v>Negative keywords are not perfect.</x:v>
      </x:c>
      <x:c r="J28" s="151" t="str">
        <x:v>Auction • Ending soonest • Raw-focused</x:v>
      </x:c>
    </x:row>
    <x:row r="29">
      <x:c r="A29" s="146" t="n">
        <x:v>22</x:v>
      </x:c>
      <x:c r="B29" s="147" t="n">
        <x:v>93</x:v>
      </x:c>
      <x:c r="C29" s="148" t="str">
        <x:v>Name + holo only, exclude graded</x:v>
      </x:c>
      <x:c r="D29" s="148" t="str">
        <x:v>Targeted</x:v>
      </x:c>
      <x:c r="E29" s="149" t="str">
        <x:v>YES</x:v>
      </x:c>
      <x:c r="F29" s="149" t="str">
        <x:f>TRIM($B$4&amp;" holo pokemon card -PSA -CGC -BGS -graded -PSA -CGC -BGS -graded -slab -proxy -custom")</x:f>
        <x:v>Pikachu holo pokemon card -PSA -CGC -BGS -graded -PSA -CGC -BGS -graded -slab -proxy -custom</x:v>
      </x:c>
      <x:c r="G29" s="150" t="e">
        <x:f>HYPERLINK("https://www.ebay.co.uk/sch/i.html?_nkw="&amp;SUBSTITUTE(TRIM($B$4&amp;" holo pokemon card -PSA -CGC -BGS -graded -PSA -CGC -BGS -graded -slab -proxy -custom")," ","+")&amp;"&amp;LH_Auction=1&amp;_sop=1","Open eBay auction search")</x:f>
      </x:c>
      <x:c r="H29" s="148" t="str">
        <x:v>Good for raw holo bargains.</x:v>
      </x:c>
      <x:c r="I29" s="148" t="str">
        <x:v>Condition can vary widely.</x:v>
      </x:c>
      <x:c r="J29" s="151" t="str">
        <x:v>Auction • Ending soonest • Raw-focused</x:v>
      </x:c>
    </x:row>
    <x:row r="30">
      <x:c r="A30" s="146" t="n">
        <x:v>23</x:v>
      </x:c>
      <x:c r="B30" s="147" t="n">
        <x:v>93</x:v>
      </x:c>
      <x:c r="C30" s="148" t="str">
        <x:v>Name + reverse holo</x:v>
      </x:c>
      <x:c r="D30" s="148" t="str">
        <x:v>Targeted</x:v>
      </x:c>
      <x:c r="E30" s="149" t="str">
        <x:v>YES</x:v>
      </x:c>
      <x:c r="F30" s="149" t="str">
        <x:f>TRIM($B$4&amp;" reverse holo pokemon card -PSA -CGC -BGS -graded -slab -proxy -custom")</x:f>
        <x:v>Pikachu reverse holo pokemon card -PSA -CGC -BGS -graded -slab -proxy -custom</x:v>
      </x:c>
      <x:c r="G30" s="150" t="e">
        <x:f>HYPERLINK("https://www.ebay.co.uk/sch/i.html?_nkw="&amp;SUBSTITUTE(TRIM($B$4&amp;" reverse holo pokemon card -PSA -CGC -BGS -graded -slab -proxy -custom")," ","+")&amp;"&amp;LH_Auction=1&amp;_sop=1","Open eBay auction search")</x:f>
      </x:c>
      <x:c r="H30" s="148" t="str">
        <x:v>Useful for older reverse-holo variants.</x:v>
      </x:c>
      <x:c r="I30" s="148" t="str">
        <x:v>Variant matching is essential.</x:v>
      </x:c>
      <x:c r="J30" s="151" t="str">
        <x:v>Auction • Ending soonest • Raw-focused</x:v>
      </x:c>
    </x:row>
    <x:row r="31">
      <x:c r="A31" s="146" t="n">
        <x:v>24</x:v>
      </x:c>
      <x:c r="B31" s="147" t="n">
        <x:v>92</x:v>
      </x:c>
      <x:c r="C31" s="148" t="str">
        <x:v>Name + foil card</x:v>
      </x:c>
      <x:c r="D31" s="148" t="str">
        <x:v>Vague wording</x:v>
      </x:c>
      <x:c r="E31" s="149" t="str">
        <x:v>YES</x:v>
      </x:c>
      <x:c r="F31" s="149" t="str">
        <x:f>TRIM($B$4&amp;" foil pokemon card -PSA -CGC -BGS -graded -slab -proxy -custom")</x:f>
        <x:v>Pikachu foil pokemon card -PSA -CGC -BGS -graded -slab -proxy -custom</x:v>
      </x:c>
      <x:c r="G31" s="150" t="e">
        <x:f>HYPERLINK("https://www.ebay.co.uk/sch/i.html?_nkw="&amp;SUBSTITUTE(TRIM($B$4&amp;" foil pokemon card -PSA -CGC -BGS -graded -slab -proxy -custom")," ","+")&amp;"&amp;LH_Auction=1&amp;_sop=1","Open eBay auction search")</x:f>
      </x:c>
      <x:c r="H31" s="148" t="str">
        <x:v>Alternative wording to holo.</x:v>
      </x:c>
      <x:c r="I31" s="148" t="str">
        <x:v>May include modern bulk.</x:v>
      </x:c>
      <x:c r="J31" s="151" t="str">
        <x:v>Auction • Ending soonest • Raw-focused</x:v>
      </x:c>
    </x:row>
    <x:row r="32">
      <x:c r="A32" s="146" t="n">
        <x:v>25</x:v>
      </x:c>
      <x:c r="B32" s="147" t="n">
        <x:v>92</x:v>
      </x:c>
      <x:c r="C32" s="148" t="str">
        <x:v>Name + special card</x:v>
      </x:c>
      <x:c r="D32" s="148" t="str">
        <x:v>Vague wording</x:v>
      </x:c>
      <x:c r="E32" s="149" t="str">
        <x:v>YES</x:v>
      </x:c>
      <x:c r="F32" s="149" t="str">
        <x:f>TRIM($B$4&amp;" special pokemon card -PSA -CGC -BGS -graded -slab -proxy -custom")</x:f>
        <x:v>Pikachu special pokemon card -PSA -CGC -BGS -graded -slab -proxy -custom</x:v>
      </x:c>
      <x:c r="G32" s="150" t="e">
        <x:f>HYPERLINK("https://www.ebay.co.uk/sch/i.html?_nkw="&amp;SUBSTITUTE(TRIM($B$4&amp;" special pokemon card -PSA -CGC -BGS -graded -slab -proxy -custom")," ","+")&amp;"&amp;LH_Auction=1&amp;_sop=1","Open eBay auction search")</x:f>
      </x:c>
      <x:c r="H32" s="148" t="str">
        <x:v>Casual sellers may use this for promos or art cards.</x:v>
      </x:c>
      <x:c r="I32" s="148" t="str">
        <x:v>Very broad.</x:v>
      </x:c>
      <x:c r="J32" s="151" t="str">
        <x:v>Auction • Ending soonest • Raw-focused</x:v>
      </x:c>
    </x:row>
    <x:row r="33">
      <x:c r="A33" s="146" t="n">
        <x:v>26</x:v>
      </x:c>
      <x:c r="B33" s="147" t="n">
        <x:v>92</x:v>
      </x:c>
      <x:c r="C33" s="148" t="str">
        <x:v>Name + secret rare</x:v>
      </x:c>
      <x:c r="D33" s="148" t="str">
        <x:v>Targeted</x:v>
      </x:c>
      <x:c r="E33" s="149" t="str">
        <x:v>YES</x:v>
      </x:c>
      <x:c r="F33" s="149" t="str">
        <x:f>TRIM($B$4&amp;" secret rare pokemon card -PSA -CGC -BGS -graded -slab -proxy -custom")</x:f>
        <x:v>Pikachu secret rare pokemon card -PSA -CGC -BGS -graded -slab -proxy -custom</x:v>
      </x:c>
      <x:c r="G33" s="150" t="e">
        <x:f>HYPERLINK("https://www.ebay.co.uk/sch/i.html?_nkw="&amp;SUBSTITUTE(TRIM($B$4&amp;" secret rare pokemon card -PSA -CGC -BGS -graded -slab -proxy -custom")," ","+")&amp;"&amp;LH_Auction=1&amp;_sop=1","Open eBay auction search")</x:f>
      </x:c>
      <x:c r="H33" s="148" t="str">
        <x:v>Finds high-rarity cards without exact number.</x:v>
      </x:c>
      <x:c r="I33" s="148" t="str">
        <x:v>Counterfeit risk is higher.</x:v>
      </x:c>
      <x:c r="J33" s="151" t="str">
        <x:v>Auction • Ending soonest • Raw-focused</x:v>
      </x:c>
    </x:row>
    <x:row r="34">
      <x:c r="A34" s="146" t="n">
        <x:v>27</x:v>
      </x:c>
      <x:c r="B34" s="147" t="n">
        <x:v>91</x:v>
      </x:c>
      <x:c r="C34" s="148" t="str">
        <x:v>Name + illustration rare</x:v>
      </x:c>
      <x:c r="D34" s="148" t="str">
        <x:v>Targeted</x:v>
      </x:c>
      <x:c r="E34" s="149" t="str">
        <x:v>YES</x:v>
      </x:c>
      <x:c r="F34" s="149" t="str">
        <x:f>TRIM($B$4&amp;" illustration rare pokemon -PSA -CGC -BGS -graded -slab -proxy -custom")</x:f>
        <x:v>Pikachu illustration rare pokemon -PSA -CGC -BGS -graded -slab -proxy -custom</x:v>
      </x:c>
      <x:c r="G34" s="150" t="e">
        <x:f>HYPERLINK("https://www.ebay.co.uk/sch/i.html?_nkw="&amp;SUBSTITUTE(TRIM($B$4&amp;" illustration rare pokemon -PSA -CGC -BGS -graded -slab -proxy -custom")," ","+")&amp;"&amp;LH_Auction=1&amp;_sop=1","Open eBay auction search")</x:f>
      </x:c>
      <x:c r="H34" s="148" t="str">
        <x:v>Modern collector-focused search.</x:v>
      </x:c>
      <x:c r="I34" s="148" t="str">
        <x:v>Competition may be strong.</x:v>
      </x:c>
      <x:c r="J34" s="151" t="str">
        <x:v>Auction • Ending soonest • Raw-focused</x:v>
      </x:c>
    </x:row>
    <x:row r="35">
      <x:c r="A35" s="146" t="n">
        <x:v>28</x:v>
      </x:c>
      <x:c r="B35" s="147" t="n">
        <x:v>91</x:v>
      </x:c>
      <x:c r="C35" s="148" t="str">
        <x:v>Name + trainer gallery</x:v>
      </x:c>
      <x:c r="D35" s="148" t="str">
        <x:v>Targeted</x:v>
      </x:c>
      <x:c r="E35" s="149" t="str">
        <x:v>YES</x:v>
      </x:c>
      <x:c r="F35" s="149" t="str">
        <x:f>TRIM($B$4&amp;" trainer gallery pokemon -PSA -CGC -BGS -graded -slab -proxy -custom")</x:f>
        <x:v>Pikachu trainer gallery pokemon -PSA -CGC -BGS -graded -slab -proxy -custom</x:v>
      </x:c>
      <x:c r="G35" s="150" t="e">
        <x:f>HYPERLINK("https://www.ebay.co.uk/sch/i.html?_nkw="&amp;SUBSTITUTE(TRIM($B$4&amp;" trainer gallery pokemon -PSA -CGC -BGS -graded -slab -proxy -custom")," ","+")&amp;"&amp;LH_Auction=1&amp;_sop=1","Open eBay auction search")</x:f>
      </x:c>
      <x:c r="H35" s="148" t="str">
        <x:v>Targets popular artwork cards.</x:v>
      </x:c>
      <x:c r="I35" s="148" t="str">
        <x:v>Some listings omit TG number.</x:v>
      </x:c>
      <x:c r="J35" s="151" t="str">
        <x:v>Auction • Ending soonest • Raw-focused</x:v>
      </x:c>
    </x:row>
    <x:row r="36">
      <x:c r="A36" s="146" t="n">
        <x:v>29</x:v>
      </x:c>
      <x:c r="B36" s="147" t="n">
        <x:v>91</x:v>
      </x:c>
      <x:c r="C36" s="148" t="str">
        <x:v>Name + radiant collection</x:v>
      </x:c>
      <x:c r="D36" s="148" t="str">
        <x:v>Targeted</x:v>
      </x:c>
      <x:c r="E36" s="149" t="str">
        <x:v>YES</x:v>
      </x:c>
      <x:c r="F36" s="149" t="str">
        <x:f>TRIM($B$4&amp;" radiant collection pokemon -PSA -CGC -BGS -graded -slab -proxy -custom")</x:f>
        <x:v>Pikachu radiant collection pokemon -PSA -CGC -BGS -graded -slab -proxy -custom</x:v>
      </x:c>
      <x:c r="G36" s="150" t="e">
        <x:f>HYPERLINK("https://www.ebay.co.uk/sch/i.html?_nkw="&amp;SUBSTITUTE(TRIM($B$4&amp;" radiant collection pokemon -PSA -CGC -BGS -graded -slab -proxy -custom")," ","+")&amp;"&amp;LH_Auction=1&amp;_sop=1","Open eBay auction search")</x:f>
      </x:c>
      <x:c r="H36" s="148" t="str">
        <x:v>Good for older artwork sub-sets.</x:v>
      </x:c>
      <x:c r="I36" s="148" t="str">
        <x:v>Confirm set and card number.</x:v>
      </x:c>
      <x:c r="J36" s="151" t="str">
        <x:v>Auction • Ending soonest • Raw-focused</x:v>
      </x:c>
    </x:row>
    <x:row r="37">
      <x:c r="A37" s="146" t="n">
        <x:v>30</x:v>
      </x:c>
      <x:c r="B37" s="147" t="n">
        <x:v>90</x:v>
      </x:c>
      <x:c r="C37" s="148" t="str">
        <x:v>Name + black star promo</x:v>
      </x:c>
      <x:c r="D37" s="148" t="str">
        <x:v>Targeted</x:v>
      </x:c>
      <x:c r="E37" s="149" t="str">
        <x:v>YES</x:v>
      </x:c>
      <x:c r="F37" s="149" t="str">
        <x:f>TRIM($B$4&amp;" black star promo pokemon -PSA -CGC -BGS -graded -slab -proxy -custom")</x:f>
        <x:v>Pikachu black star promo pokemon -PSA -CGC -BGS -graded -slab -proxy -custom</x:v>
      </x:c>
      <x:c r="G37" s="150" t="e">
        <x:f>HYPERLINK("https://www.ebay.co.uk/sch/i.html?_nkw="&amp;SUBSTITUTE(TRIM($B$4&amp;" black star promo pokemon -PSA -CGC -BGS -graded -slab -proxy -custom")," ","+")&amp;"&amp;LH_Auction=1&amp;_sop=1","Open eBay auction search")</x:f>
      </x:c>
      <x:c r="H37" s="148" t="str">
        <x:v>Targets promos with weak titles.</x:v>
      </x:c>
      <x:c r="I37" s="148" t="str">
        <x:v>Check promo code and language.</x:v>
      </x:c>
      <x:c r="J37" s="151" t="str">
        <x:v>Auction • Ending soonest • Raw-focused</x:v>
      </x:c>
    </x:row>
    <x:row r="38">
      <x:c r="A38" s="146" t="n">
        <x:v>31</x:v>
      </x:c>
      <x:c r="B38" s="147" t="n">
        <x:v>90</x:v>
      </x:c>
      <x:c r="C38" s="148" t="str">
        <x:v>Name + stamped promo</x:v>
      </x:c>
      <x:c r="D38" s="148" t="str">
        <x:v>Targeted</x:v>
      </x:c>
      <x:c r="E38" s="149" t="str">
        <x:v>YES</x:v>
      </x:c>
      <x:c r="F38" s="149" t="str">
        <x:f>TRIM($B$4&amp;" stamped promo pokemon -PSA -CGC -BGS -graded -slab -proxy -custom")</x:f>
        <x:v>Pikachu stamped promo pokemon -PSA -CGC -BGS -graded -slab -proxy -custom</x:v>
      </x:c>
      <x:c r="G38" s="150" t="e">
        <x:f>HYPERLINK("https://www.ebay.co.uk/sch/i.html?_nkw="&amp;SUBSTITUTE(TRIM($B$4&amp;" stamped promo pokemon -PSA -CGC -BGS -graded -slab -proxy -custom")," ","+")&amp;"&amp;LH_Auction=1&amp;_sop=1","Open eBay auction search")</x:f>
      </x:c>
      <x:c r="H38" s="148" t="str">
        <x:v>Can find league, prerelease and special stamps.</x:v>
      </x:c>
      <x:c r="I38" s="148" t="str">
        <x:v>Stamp authenticity/variant risk.</x:v>
      </x:c>
      <x:c r="J38" s="151" t="str">
        <x:v>Auction • Ending soonest • Raw-focused</x:v>
      </x:c>
    </x:row>
    <x:row r="39">
      <x:c r="A39" s="146" t="n">
        <x:v>32</x:v>
      </x:c>
      <x:c r="B39" s="147" t="n">
        <x:v>90</x:v>
      </x:c>
      <x:c r="C39" s="148" t="str">
        <x:v>Name + prerelease card</x:v>
      </x:c>
      <x:c r="D39" s="148" t="str">
        <x:v>Targeted</x:v>
      </x:c>
      <x:c r="E39" s="149" t="str">
        <x:v>YES</x:v>
      </x:c>
      <x:c r="F39" s="149" t="str">
        <x:f>TRIM($B$4&amp;" prerelease pokemon card -PSA -CGC -BGS -graded -slab -proxy -custom")</x:f>
        <x:v>Pikachu prerelease pokemon card -PSA -CGC -BGS -graded -slab -proxy -custom</x:v>
      </x:c>
      <x:c r="G39" s="150" t="e">
        <x:f>HYPERLINK("https://www.ebay.co.uk/sch/i.html?_nkw="&amp;SUBSTITUTE(TRIM($B$4&amp;" prerelease pokemon card -PSA -CGC -BGS -graded -slab -proxy -custom")," ","+")&amp;"&amp;LH_Auction=1&amp;_sop=1","Open eBay auction search")</x:f>
      </x:c>
      <x:c r="H39" s="148" t="str">
        <x:v>Targets Build &amp; Battle promos.</x:v>
      </x:c>
      <x:c r="I39" s="148" t="str">
        <x:v>May include sealed kits.</x:v>
      </x:c>
      <x:c r="J39" s="151" t="str">
        <x:v>Auction • Ending soonest • Raw-focused</x:v>
      </x:c>
    </x:row>
    <x:row r="40">
      <x:c r="A40" s="146" t="n">
        <x:v>33</x:v>
      </x:c>
      <x:c r="B40" s="147" t="n">
        <x:v>89</x:v>
      </x:c>
      <x:c r="C40" s="148" t="str">
        <x:v>Name + league promo</x:v>
      </x:c>
      <x:c r="D40" s="148" t="str">
        <x:v>Targeted</x:v>
      </x:c>
      <x:c r="E40" s="149" t="str">
        <x:v>YES</x:v>
      </x:c>
      <x:c r="F40" s="149" t="str">
        <x:f>TRIM($B$4&amp;" league promo pokemon card -PSA -CGC -BGS -graded -slab -proxy -custom")</x:f>
        <x:v>Pikachu league promo pokemon card -PSA -CGC -BGS -graded -slab -proxy -custom</x:v>
      </x:c>
      <x:c r="G40" s="150" t="e">
        <x:f>HYPERLINK("https://www.ebay.co.uk/sch/i.html?_nkw="&amp;SUBSTITUTE(TRIM($B$4&amp;" league promo pokemon card -PSA -CGC -BGS -graded -slab -proxy -custom")," ","+")&amp;"&amp;LH_Auction=1&amp;_sop=1","Open eBay auction search")</x:f>
      </x:c>
      <x:c r="H40" s="148" t="str">
        <x:v>Targets Play! Pokémon and league cards.</x:v>
      </x:c>
      <x:c r="I40" s="148" t="str">
        <x:v>Sales volume may be low.</x:v>
      </x:c>
      <x:c r="J40" s="151" t="str">
        <x:v>Auction • Ending soonest • Raw-focused</x:v>
      </x:c>
    </x:row>
    <x:row r="41">
      <x:c r="A41" s="146" t="n">
        <x:v>34</x:v>
      </x:c>
      <x:c r="B41" s="147" t="n">
        <x:v>89</x:v>
      </x:c>
      <x:c r="C41" s="148" t="str">
        <x:v>Name + error card</x:v>
      </x:c>
      <x:c r="D41" s="148" t="str">
        <x:v>Specialist</x:v>
      </x:c>
      <x:c r="E41" s="149" t="str">
        <x:v>YES</x:v>
      </x:c>
      <x:c r="F41" s="149" t="str">
        <x:f>TRIM($B$4&amp;" error pokemon card -PSA -CGC -BGS -graded -slab -proxy -custom")</x:f>
        <x:v>Pikachu error pokemon card -PSA -CGC -BGS -graded -slab -proxy -custom</x:v>
      </x:c>
      <x:c r="G41" s="150" t="e">
        <x:f>HYPERLINK("https://www.ebay.co.uk/sch/i.html?_nkw="&amp;SUBSTITUTE(TRIM($B$4&amp;" error pokemon card -PSA -CGC -BGS -graded -slab -proxy -custom")," ","+")&amp;"&amp;LH_Auction=1&amp;_sop=1","Open eBay auction search")</x:f>
      </x:c>
      <x:c r="H41" s="148" t="str">
        <x:v>Can uncover genuine misprints.</x:v>
      </x:c>
      <x:c r="I41" s="148" t="str">
        <x:v>Most “errors” are ordinary defects.</x:v>
      </x:c>
      <x:c r="J41" s="151" t="str">
        <x:v>Auction • Ending soonest • Raw-focused</x:v>
      </x:c>
    </x:row>
    <x:row r="42">
      <x:c r="A42" s="146" t="n">
        <x:v>35</x:v>
      </x:c>
      <x:c r="B42" s="147" t="n">
        <x:v>89</x:v>
      </x:c>
      <x:c r="C42" s="148" t="str">
        <x:v>Name + misprint card</x:v>
      </x:c>
      <x:c r="D42" s="148" t="str">
        <x:v>Specialist</x:v>
      </x:c>
      <x:c r="E42" s="149" t="str">
        <x:v>YES</x:v>
      </x:c>
      <x:c r="F42" s="149" t="str">
        <x:f>TRIM($B$4&amp;" misprint pokemon card -PSA -CGC -BGS -graded -slab -proxy -custom")</x:f>
        <x:v>Pikachu misprint pokemon card -PSA -CGC -BGS -graded -slab -proxy -custom</x:v>
      </x:c>
      <x:c r="G42" s="150" t="e">
        <x:f>HYPERLINK("https://www.ebay.co.uk/sch/i.html?_nkw="&amp;SUBSTITUTE(TRIM($B$4&amp;" misprint pokemon card -PSA -CGC -BGS -graded -slab -proxy -custom")," ","+")&amp;"&amp;LH_Auction=1&amp;_sop=1","Open eBay auction search")</x:f>
      </x:c>
      <x:c r="H42" s="148" t="str">
        <x:v>Specialist collector search.</x:v>
      </x:c>
      <x:c r="I42" s="148" t="str">
        <x:v>Authentication is difficult.</x:v>
      </x:c>
      <x:c r="J42" s="151" t="str">
        <x:v>Auction • Ending soonest • Raw-focused</x:v>
      </x:c>
    </x:row>
    <x:row r="43">
      <x:c r="A43" s="146" t="n">
        <x:v>36</x:v>
      </x:c>
      <x:c r="B43" s="147" t="n">
        <x:v>88</x:v>
      </x:c>
      <x:c r="C43" s="148" t="str">
        <x:v>Name + swirl holo</x:v>
      </x:c>
      <x:c r="D43" s="148" t="str">
        <x:v>Specialist</x:v>
      </x:c>
      <x:c r="E43" s="149" t="str">
        <x:v>YES</x:v>
      </x:c>
      <x:c r="F43" s="149" t="str">
        <x:f>TRIM($B$4&amp;" swirl holo pokemon -PSA -CGC -BGS -graded -slab -proxy -custom")</x:f>
        <x:v>Pikachu swirl holo pokemon -PSA -CGC -BGS -graded -slab -proxy -custom</x:v>
      </x:c>
      <x:c r="G43" s="150" t="e">
        <x:f>HYPERLINK("https://www.ebay.co.uk/sch/i.html?_nkw="&amp;SUBSTITUTE(TRIM($B$4&amp;" swirl holo pokemon -PSA -CGC -BGS -graded -slab -proxy -custom")," ","+")&amp;"&amp;LH_Auction=1&amp;_sop=1","Open eBay auction search")</x:f>
      </x:c>
      <x:c r="H43" s="148" t="str">
        <x:v>Targets desirable holo-pattern placement.</x:v>
      </x:c>
      <x:c r="I43" s="148" t="str">
        <x:v>Swirl premiums are subjective.</x:v>
      </x:c>
      <x:c r="J43" s="151" t="str">
        <x:v>Auction • Ending soonest • Raw-focused</x:v>
      </x:c>
    </x:row>
    <x:row r="44">
      <x:c r="A44" s="146" t="n">
        <x:v>37</x:v>
      </x:c>
      <x:c r="B44" s="147" t="n">
        <x:v>88</x:v>
      </x:c>
      <x:c r="C44" s="148" t="str">
        <x:v>Name + cosmos holo</x:v>
      </x:c>
      <x:c r="D44" s="148" t="str">
        <x:v>Specialist</x:v>
      </x:c>
      <x:c r="E44" s="149" t="str">
        <x:v>YES</x:v>
      </x:c>
      <x:c r="F44" s="149" t="str">
        <x:f>TRIM($B$4&amp;" cosmos holo pokemon -PSA -CGC -BGS -graded -slab -proxy -custom")</x:f>
        <x:v>Pikachu cosmos holo pokemon -PSA -CGC -BGS -graded -slab -proxy -custom</x:v>
      </x:c>
      <x:c r="G44" s="150" t="e">
        <x:f>HYPERLINK("https://www.ebay.co.uk/sch/i.html?_nkw="&amp;SUBSTITUTE(TRIM($B$4&amp;" cosmos holo pokemon -PSA -CGC -BGS -graded -slab -proxy -custom")," ","+")&amp;"&amp;LH_Auction=1&amp;_sop=1","Open eBay auction search")</x:f>
      </x:c>
      <x:c r="H44" s="148" t="str">
        <x:v>Useful for promo foil variants.</x:v>
      </x:c>
      <x:c r="I44" s="148" t="str">
        <x:v>Confirm exact foil pattern.</x:v>
      </x:c>
      <x:c r="J44" s="151" t="str">
        <x:v>Auction • Ending soonest • Raw-focused</x:v>
      </x:c>
    </x:row>
    <x:row r="45">
      <x:c r="A45" s="146" t="n">
        <x:v>38</x:v>
      </x:c>
      <x:c r="B45" s="147" t="n">
        <x:v>88</x:v>
      </x:c>
      <x:c r="C45" s="148" t="str">
        <x:v>Name + cracked ice holo</x:v>
      </x:c>
      <x:c r="D45" s="148" t="str">
        <x:v>Specialist</x:v>
      </x:c>
      <x:c r="E45" s="149" t="str">
        <x:v>YES</x:v>
      </x:c>
      <x:c r="F45" s="149" t="str">
        <x:f>TRIM($B$4&amp;" cracked ice holo pokemon -PSA -CGC -BGS -graded -slab -proxy -custom")</x:f>
        <x:v>Pikachu cracked ice holo pokemon -PSA -CGC -BGS -graded -slab -proxy -custom</x:v>
      </x:c>
      <x:c r="G45" s="150" t="e">
        <x:f>HYPERLINK("https://www.ebay.co.uk/sch/i.html?_nkw="&amp;SUBSTITUTE(TRIM($B$4&amp;" cracked ice holo pokemon -PSA -CGC -BGS -graded -slab -proxy -custom")," ","+")&amp;"&amp;LH_Auction=1&amp;_sop=1","Open eBay auction search")</x:f>
      </x:c>
      <x:c r="H45" s="148" t="str">
        <x:v>Targets theme-deck and special foil variants.</x:v>
      </x:c>
      <x:c r="I45" s="148" t="str">
        <x:v>Demand varies.</x:v>
      </x:c>
      <x:c r="J45" s="151" t="str">
        <x:v>Auction • Ending soonest • Raw-focused</x:v>
      </x:c>
    </x:row>
    <x:row r="46">
      <x:c r="A46" s="146" t="n">
        <x:v>39</x:v>
      </x:c>
      <x:c r="B46" s="147" t="n">
        <x:v>88</x:v>
      </x:c>
      <x:c r="C46" s="148" t="str">
        <x:v>Name + e reader card</x:v>
      </x:c>
      <x:c r="D46" s="148" t="str">
        <x:v>Older era</x:v>
      </x:c>
      <x:c r="E46" s="149" t="str">
        <x:v>YES</x:v>
      </x:c>
      <x:c r="F46" s="149" t="str">
        <x:f>TRIM($B$4&amp;" e reader pokemon card -PSA -CGC -BGS -graded -slab -proxy -custom")</x:f>
        <x:v>Pikachu e reader pokemon card -PSA -CGC -BGS -graded -slab -proxy -custom</x:v>
      </x:c>
      <x:c r="G46" s="150" t="e">
        <x:f>HYPERLINK("https://www.ebay.co.uk/sch/i.html?_nkw="&amp;SUBSTITUTE(TRIM($B$4&amp;" e reader pokemon card -PSA -CGC -BGS -graded -slab -proxy -custom")," ","+")&amp;"&amp;LH_Auction=1&amp;_sop=1","Open eBay auction search")</x:f>
      </x:c>
      <x:c r="H46" s="148" t="str">
        <x:v>Targets Expedition/Aquapolis/Skyridge-era cards.</x:v>
      </x:c>
      <x:c r="I46" s="148" t="str">
        <x:v>Check set symbol carefully.</x:v>
      </x:c>
      <x:c r="J46" s="151" t="str">
        <x:v>Auction • Ending soonest • Raw-focused</x:v>
      </x:c>
    </x:row>
    <x:row r="47">
      <x:c r="A47" s="146" t="n">
        <x:v>40</x:v>
      </x:c>
      <x:c r="B47" s="147" t="n">
        <x:v>87</x:v>
      </x:c>
      <x:c r="C47" s="148" t="str">
        <x:v>Name + ex era card</x:v>
      </x:c>
      <x:c r="D47" s="148" t="str">
        <x:v>Older era</x:v>
      </x:c>
      <x:c r="E47" s="149" t="str">
        <x:v>YES</x:v>
      </x:c>
      <x:c r="F47" s="149" t="str">
        <x:f>TRIM($B$4&amp;" ex era pokemon card -PSA -CGC -BGS -graded -slab -proxy -custom")</x:f>
        <x:v>Pikachu ex era pokemon card -PSA -CGC -BGS -graded -slab -proxy -custom</x:v>
      </x:c>
      <x:c r="G47" s="150" t="e">
        <x:f>HYPERLINK("https://www.ebay.co.uk/sch/i.html?_nkw="&amp;SUBSTITUTE(TRIM($B$4&amp;" ex era pokemon card -PSA -CGC -BGS -graded -slab -proxy -custom")," ","+")&amp;"&amp;LH_Auction=1&amp;_sop=1","Open eBay auction search")</x:f>
      </x:c>
      <x:c r="H47" s="148" t="str">
        <x:v>Targets 2003–2007 era listings.</x:v>
      </x:c>
      <x:c r="I47" s="148" t="str">
        <x:v>May mix modern Pokémon ex.</x:v>
      </x:c>
      <x:c r="J47" s="151" t="str">
        <x:v>Auction • Ending soonest • Raw-focused</x:v>
      </x:c>
    </x:row>
    <x:row r="48">
      <x:c r="A48" s="146" t="n">
        <x:v>41</x:v>
      </x:c>
      <x:c r="B48" s="147" t="n">
        <x:v>87</x:v>
      </x:c>
      <x:c r="C48" s="148" t="str">
        <x:v>Name + delta species</x:v>
      </x:c>
      <x:c r="D48" s="148" t="str">
        <x:v>Older era</x:v>
      </x:c>
      <x:c r="E48" s="149" t="str">
        <x:v>YES</x:v>
      </x:c>
      <x:c r="F48" s="149" t="str">
        <x:f>TRIM($B$4&amp;" delta species pokemon card -PSA -CGC -BGS -graded -slab -proxy -custom")</x:f>
        <x:v>Pikachu delta species pokemon card -PSA -CGC -BGS -graded -slab -proxy -custom</x:v>
      </x:c>
      <x:c r="G48" s="150" t="e">
        <x:f>HYPERLINK("https://www.ebay.co.uk/sch/i.html?_nkw="&amp;SUBSTITUTE(TRIM($B$4&amp;" delta species pokemon card -PSA -CGC -BGS -graded -slab -proxy -custom")," ","+")&amp;"&amp;LH_Auction=1&amp;_sop=1","Open eBay auction search")</x:f>
      </x:c>
      <x:c r="H48" s="148" t="str">
        <x:v>Strong niche for older collectors.</x:v>
      </x:c>
      <x:c r="I48" s="148" t="str">
        <x:v>Condition often weak.</x:v>
      </x:c>
      <x:c r="J48" s="151" t="str">
        <x:v>Auction • Ending soonest • Raw-focused</x:v>
      </x:c>
    </x:row>
    <x:row r="49">
      <x:c r="A49" s="146" t="n">
        <x:v>42</x:v>
      </x:c>
      <x:c r="B49" s="147" t="n">
        <x:v>87</x:v>
      </x:c>
      <x:c r="C49" s="148" t="str">
        <x:v>Name + legend maker</x:v>
      </x:c>
      <x:c r="D49" s="148" t="str">
        <x:v>Older era</x:v>
      </x:c>
      <x:c r="E49" s="149" t="str">
        <x:v>YES</x:v>
      </x:c>
      <x:c r="F49" s="149" t="str">
        <x:f>TRIM($B$4&amp;" legend maker pokemon card -PSA -CGC -BGS -graded -slab -proxy -custom")</x:f>
        <x:v>Pikachu legend maker pokemon card -PSA -CGC -BGS -graded -slab -proxy -custom</x:v>
      </x:c>
      <x:c r="G49" s="150" t="e">
        <x:f>HYPERLINK("https://www.ebay.co.uk/sch/i.html?_nkw="&amp;SUBSTITUTE(TRIM($B$4&amp;" legend maker pokemon card -PSA -CGC -BGS -graded -slab -proxy -custom")," ","+")&amp;"&amp;LH_Auction=1&amp;_sop=1","Open eBay auction search")</x:f>
      </x:c>
      <x:c r="H49" s="148" t="str">
        <x:v>Targets older EX-era cards.</x:v>
      </x:c>
      <x:c r="I49" s="148" t="str">
        <x:v>Low listing frequency.</x:v>
      </x:c>
      <x:c r="J49" s="151" t="str">
        <x:v>Auction • Ending soonest • Raw-focused</x:v>
      </x:c>
    </x:row>
    <x:row r="50">
      <x:c r="A50" s="146" t="n">
        <x:v>43</x:v>
      </x:c>
      <x:c r="B50" s="147" t="n">
        <x:v>86</x:v>
      </x:c>
      <x:c r="C50" s="148" t="str">
        <x:v>Name + team rocket card</x:v>
      </x:c>
      <x:c r="D50" s="148" t="str">
        <x:v>Set/theme</x:v>
      </x:c>
      <x:c r="E50" s="149" t="str">
        <x:v>YES</x:v>
      </x:c>
      <x:c r="F50" s="149" t="str">
        <x:f>TRIM($B$4&amp;" team rocket pokemon card -PSA -CGC -BGS -graded -slab -proxy -custom")</x:f>
        <x:v>Pikachu team rocket pokemon card -PSA -CGC -BGS -graded -slab -proxy -custom</x:v>
      </x:c>
      <x:c r="G50" s="150" t="e">
        <x:f>HYPERLINK("https://www.ebay.co.uk/sch/i.html?_nkw="&amp;SUBSTITUTE(TRIM($B$4&amp;" team rocket pokemon card -PSA -CGC -BGS -graded -slab -proxy -custom")," ","+")&amp;"&amp;LH_Auction=1&amp;_sop=1","Open eBay auction search")</x:f>
      </x:c>
      <x:c r="H50" s="148" t="str">
        <x:v>Popular theme with many weakly titled listings.</x:v>
      </x:c>
      <x:c r="I50" s="148" t="str">
        <x:v>Confirm original vs modern Team Rocket sets.</x:v>
      </x:c>
      <x:c r="J50" s="151" t="str">
        <x:v>Auction • Ending soonest • Raw-focused</x:v>
      </x:c>
    </x:row>
    <x:row r="51">
      <x:c r="A51" s="146" t="n">
        <x:v>44</x:v>
      </x:c>
      <x:c r="B51" s="147" t="n">
        <x:v>86</x:v>
      </x:c>
      <x:c r="C51" s="148" t="str">
        <x:v>Name + neo card</x:v>
      </x:c>
      <x:c r="D51" s="148" t="str">
        <x:v>Older era</x:v>
      </x:c>
      <x:c r="E51" s="149" t="str">
        <x:v>YES</x:v>
      </x:c>
      <x:c r="F51" s="149" t="str">
        <x:f>TRIM($B$4&amp;" neo pokemon card -PSA -CGC -BGS -graded -slab -proxy -custom")</x:f>
        <x:v>Pikachu neo pokemon card -PSA -CGC -BGS -graded -slab -proxy -custom</x:v>
      </x:c>
      <x:c r="G51" s="150" t="e">
        <x:f>HYPERLINK("https://www.ebay.co.uk/sch/i.html?_nkw="&amp;SUBSTITUTE(TRIM($B$4&amp;" neo pokemon card -PSA -CGC -BGS -graded -slab -proxy -custom")," ","+")&amp;"&amp;LH_Auction=1&amp;_sop=1","Open eBay auction search")</x:f>
      </x:c>
      <x:c r="H51" s="148" t="str">
        <x:v>Targets Neo Genesis/Discovery/Revelation/Destiny.</x:v>
      </x:c>
      <x:c r="I51" s="148" t="str">
        <x:v>Set ambiguity.</x:v>
      </x:c>
      <x:c r="J51" s="151" t="str">
        <x:v>Auction • Ending soonest • Raw-focused</x:v>
      </x:c>
    </x:row>
    <x:row r="52">
      <x:c r="A52" s="146" t="n">
        <x:v>45</x:v>
      </x:c>
      <x:c r="B52" s="147" t="n">
        <x:v>86</x:v>
      </x:c>
      <x:c r="C52" s="148" t="str">
        <x:v>Name + jungle card</x:v>
      </x:c>
      <x:c r="D52" s="148" t="str">
        <x:v>Older era</x:v>
      </x:c>
      <x:c r="E52" s="149" t="str">
        <x:v>YES</x:v>
      </x:c>
      <x:c r="F52" s="149" t="str">
        <x:f>TRIM($B$4&amp;" jungle pokemon card -PSA -CGC -BGS -graded -slab -proxy -custom")</x:f>
        <x:v>Pikachu jungle pokemon card -PSA -CGC -BGS -graded -slab -proxy -custom</x:v>
      </x:c>
      <x:c r="G52" s="150" t="e">
        <x:f>HYPERLINK("https://www.ebay.co.uk/sch/i.html?_nkw="&amp;SUBSTITUTE(TRIM($B$4&amp;" jungle pokemon card -PSA -CGC -BGS -graded -slab -proxy -custom")," ","+")&amp;"&amp;LH_Auction=1&amp;_sop=1","Open eBay auction search")</x:f>
      </x:c>
      <x:c r="H52" s="148" t="str">
        <x:v>Targets affordable WOTC singles.</x:v>
      </x:c>
      <x:c r="I52" s="148" t="str">
        <x:v>Unlimited vs 1st Edition confusion.</x:v>
      </x:c>
      <x:c r="J52" s="151" t="str">
        <x:v>Auction • Ending soonest • Raw-focused</x:v>
      </x:c>
    </x:row>
    <x:row r="53">
      <x:c r="A53" s="146" t="n">
        <x:v>46</x:v>
      </x:c>
      <x:c r="B53" s="147" t="n">
        <x:v>85</x:v>
      </x:c>
      <x:c r="C53" s="148" t="str">
        <x:v>Name + fossil card</x:v>
      </x:c>
      <x:c r="D53" s="148" t="str">
        <x:v>Older era</x:v>
      </x:c>
      <x:c r="E53" s="149" t="str">
        <x:v>YES</x:v>
      </x:c>
      <x:c r="F53" s="149" t="str">
        <x:f>TRIM($B$4&amp;" fossil pokemon card -PSA -CGC -BGS -graded -slab -proxy -custom")</x:f>
        <x:v>Pikachu fossil pokemon card -PSA -CGC -BGS -graded -slab -proxy -custom</x:v>
      </x:c>
      <x:c r="G53" s="150" t="e">
        <x:f>HYPERLINK("https://www.ebay.co.uk/sch/i.html?_nkw="&amp;SUBSTITUTE(TRIM($B$4&amp;" fossil pokemon card -PSA -CGC -BGS -graded -slab -proxy -custom")," ","+")&amp;"&amp;LH_Auction=1&amp;_sop=1","Open eBay auction search")</x:f>
      </x:c>
      <x:c r="H53" s="148" t="str">
        <x:v>Targets early WOTC singles.</x:v>
      </x:c>
      <x:c r="I53" s="148" t="str">
        <x:v>Condition and edition matter.</x:v>
      </x:c>
      <x:c r="J53" s="151" t="str">
        <x:v>Auction • Ending soonest • Raw-focused</x:v>
      </x:c>
    </x:row>
    <x:row r="54">
      <x:c r="A54" s="146" t="n">
        <x:v>47</x:v>
      </x:c>
      <x:c r="B54" s="147" t="n">
        <x:v>85</x:v>
      </x:c>
      <x:c r="C54" s="148" t="str">
        <x:v>Name + base set card</x:v>
      </x:c>
      <x:c r="D54" s="148" t="str">
        <x:v>Older era</x:v>
      </x:c>
      <x:c r="E54" s="149" t="str">
        <x:v>YES</x:v>
      </x:c>
      <x:c r="F54" s="149" t="str">
        <x:f>TRIM($B$4&amp;" base set pokemon card -PSA -CGC -BGS -graded -slab -proxy -custom")</x:f>
        <x:v>Pikachu base set pokemon card -PSA -CGC -BGS -graded -slab -proxy -custom</x:v>
      </x:c>
      <x:c r="G54" s="150" t="e">
        <x:f>HYPERLINK("https://www.ebay.co.uk/sch/i.html?_nkw="&amp;SUBSTITUTE(TRIM($B$4&amp;" base set pokemon card -PSA -CGC -BGS -graded -slab -proxy -custom")," ","+")&amp;"&amp;LH_Auction=1&amp;_sop=1","Open eBay auction search")</x:f>
      </x:c>
      <x:c r="H54" s="148" t="str">
        <x:v>Very liquid, but heavily competed.</x:v>
      </x:c>
      <x:c r="I54" s="148" t="str">
        <x:v>High counterfeit risk.</x:v>
      </x:c>
      <x:c r="J54" s="151" t="str">
        <x:v>Auction • Ending soonest • Raw-focused</x:v>
      </x:c>
    </x:row>
    <x:row r="55">
      <x:c r="A55" s="146" t="n">
        <x:v>48</x:v>
      </x:c>
      <x:c r="B55" s="147" t="n">
        <x:v>85</x:v>
      </x:c>
      <x:c r="C55" s="148" t="str">
        <x:v>Name + gym card</x:v>
      </x:c>
      <x:c r="D55" s="148" t="str">
        <x:v>Older era</x:v>
      </x:c>
      <x:c r="E55" s="149" t="str">
        <x:v>YES</x:v>
      </x:c>
      <x:c r="F55" s="149" t="str">
        <x:f>TRIM($B$4&amp;" gym heroes challenge pokemon card -PSA -CGC -BGS -graded -slab -proxy -custom")</x:f>
        <x:v>Pikachu gym heroes challenge pokemon card -PSA -CGC -BGS -graded -slab -proxy -custom</x:v>
      </x:c>
      <x:c r="G55" s="150" t="e">
        <x:f>HYPERLINK("https://www.ebay.co.uk/sch/i.html?_nkw="&amp;SUBSTITUTE(TRIM($B$4&amp;" gym heroes challenge pokemon card -PSA -CGC -BGS -graded -slab -proxy -custom")," ","+")&amp;"&amp;LH_Auction=1&amp;_sop=1","Open eBay auction search")</x:f>
      </x:c>
      <x:c r="H55" s="148" t="str">
        <x:v>Targets Gym-era cards.</x:v>
      </x:c>
      <x:c r="I55" s="148" t="str">
        <x:v>Broad two-set search.</x:v>
      </x:c>
      <x:c r="J55" s="151" t="str">
        <x:v>Auction • Ending soonest • Raw-focused</x:v>
      </x:c>
    </x:row>
    <x:row r="56">
      <x:c r="A56" s="146" t="n">
        <x:v>49</x:v>
      </x:c>
      <x:c r="B56" s="147" t="n">
        <x:v>84</x:v>
      </x:c>
      <x:c r="C56" s="148" t="str">
        <x:v>Name + expedition card</x:v>
      </x:c>
      <x:c r="D56" s="148" t="str">
        <x:v>Older era</x:v>
      </x:c>
      <x:c r="E56" s="149" t="str">
        <x:v>YES</x:v>
      </x:c>
      <x:c r="F56" s="149" t="str">
        <x:f>TRIM($B$4&amp;" expedition pokemon card -PSA -CGC -BGS -graded -slab -proxy -custom")</x:f>
        <x:v>Pikachu expedition pokemon card -PSA -CGC -BGS -graded -slab -proxy -custom</x:v>
      </x:c>
      <x:c r="G56" s="150" t="e">
        <x:f>HYPERLINK("https://www.ebay.co.uk/sch/i.html?_nkw="&amp;SUBSTITUTE(TRIM($B$4&amp;" expedition pokemon card -PSA -CGC -BGS -graded -slab -proxy -custom")," ","+")&amp;"&amp;LH_Auction=1&amp;_sop=1","Open eBay auction search")</x:f>
      </x:c>
      <x:c r="H56" s="148" t="str">
        <x:v>Targets e-Reader era.</x:v>
      </x:c>
      <x:c r="I56" s="148" t="str">
        <x:v>Low supply.</x:v>
      </x:c>
      <x:c r="J56" s="151" t="str">
        <x:v>Auction • Ending soonest • Raw-focused</x:v>
      </x:c>
    </x:row>
    <x:row r="57">
      <x:c r="A57" s="146" t="n">
        <x:v>50</x:v>
      </x:c>
      <x:c r="B57" s="147" t="n">
        <x:v>84</x:v>
      </x:c>
      <x:c r="C57" s="148" t="str">
        <x:v>Name + aquapolis card</x:v>
      </x:c>
      <x:c r="D57" s="148" t="str">
        <x:v>Older era</x:v>
      </x:c>
      <x:c r="E57" s="149" t="str">
        <x:v>YES</x:v>
      </x:c>
      <x:c r="F57" s="149" t="str">
        <x:f>TRIM($B$4&amp;" aquapolis pokemon card -PSA -CGC -BGS -graded -slab -proxy -custom")</x:f>
        <x:v>Pikachu aquapolis pokemon card -PSA -CGC -BGS -graded -slab -proxy -custom</x:v>
      </x:c>
      <x:c r="G57" s="150" t="e">
        <x:f>HYPERLINK("https://www.ebay.co.uk/sch/i.html?_nkw="&amp;SUBSTITUTE(TRIM($B$4&amp;" aquapolis pokemon card -PSA -CGC -BGS -graded -slab -proxy -custom")," ","+")&amp;"&amp;LH_Auction=1&amp;_sop=1","Open eBay auction search")</x:f>
      </x:c>
      <x:c r="H57" s="148" t="str">
        <x:v>High-value e-Reader niche.</x:v>
      </x:c>
      <x:c r="I57" s="148" t="str">
        <x:v>Counterfeit/condition risk.</x:v>
      </x:c>
      <x:c r="J57" s="151" t="str">
        <x:v>Auction • Ending soonest • Raw-focused</x:v>
      </x:c>
    </x:row>
    <x:row r="58">
      <x:c r="A58" s="146" t="n">
        <x:v>51</x:v>
      </x:c>
      <x:c r="B58" s="147" t="n">
        <x:v>84</x:v>
      </x:c>
      <x:c r="C58" s="148" t="str">
        <x:v>Name entered as two words</x:v>
      </x:c>
      <x:c r="D58" s="148" t="str">
        <x:v>Typo pattern</x:v>
      </x:c>
      <x:c r="E58" s="149" t="str">
        <x:v>YES</x:v>
      </x:c>
      <x:c r="F58" s="149" t="str">
        <x:f>TRIM($B$4&amp;" pokemon card -PSA -CGC -BGS -graded -slab -proxy -custom")</x:f>
        <x:v>Pikachu pokemon card -PSA -CGC -BGS -graded -slab -proxy -custom</x:v>
      </x:c>
      <x:c r="G58" s="150" t="e">
        <x:f>HYPERLINK("https://www.ebay.co.uk/sch/i.html?_nkw="&amp;SUBSTITUTE(TRIM($B$4&amp;" pokemon card -PSA -CGC -BGS -graded -slab -proxy -custom")," ","+")&amp;"&amp;LH_Auction=1&amp;_sop=1","Open eBay auction search")</x:f>
      </x:c>
      <x:c r="H58" s="148" t="str">
        <x:v>Useful for names sellers incorrectly split.</x:v>
      </x:c>
      <x:c r="I58" s="148" t="str">
        <x:v>Manually enter split spelling in the name cell.</x:v>
      </x:c>
      <x:c r="J58" s="151" t="str">
        <x:v>Auction • Ending soonest • Raw-focused</x:v>
      </x:c>
    </x:row>
    <x:row r="59">
      <x:c r="A59" s="146" t="n">
        <x:v>52</x:v>
      </x:c>
      <x:c r="B59" s="147" t="n">
        <x:v>83</x:v>
      </x:c>
      <x:c r="C59" s="148" t="str">
        <x:v>Name with one missing letter</x:v>
      </x:c>
      <x:c r="D59" s="148" t="str">
        <x:v>Typo pattern</x:v>
      </x:c>
      <x:c r="E59" s="149" t="str">
        <x:v>YES</x:v>
      </x:c>
      <x:c r="F59" s="149" t="str">
        <x:f>TRIM($B$4&amp;" card -PSA -CGC -BGS -graded -slab -proxy -custom")</x:f>
        <x:v>Pikachu card -PSA -CGC -BGS -graded -slab -proxy -custom</x:v>
      </x:c>
      <x:c r="G59" s="150" t="e">
        <x:f>HYPERLINK("https://www.ebay.co.uk/sch/i.html?_nkw="&amp;SUBSTITUTE(TRIM($B$4&amp;" card -PSA -CGC -BGS -graded -slab -proxy -custom")," ","+")&amp;"&amp;LH_Auction=1&amp;_sop=1","Open eBay auction search")</x:f>
      </x:c>
      <x:c r="H59" s="148" t="str">
        <x:v>Common casual-seller mistake.</x:v>
      </x:c>
      <x:c r="I59" s="148" t="str">
        <x:v>Requires trying a likely typo.</x:v>
      </x:c>
      <x:c r="J59" s="151" t="str">
        <x:v>Auction • Ending soonest • Raw-focused</x:v>
      </x:c>
    </x:row>
    <x:row r="60">
      <x:c r="A60" s="146" t="n">
        <x:v>53</x:v>
      </x:c>
      <x:c r="B60" s="147" t="n">
        <x:v>83</x:v>
      </x:c>
      <x:c r="C60" s="148" t="str">
        <x:v>Name with swapped letters</x:v>
      </x:c>
      <x:c r="D60" s="148" t="str">
        <x:v>Typo pattern</x:v>
      </x:c>
      <x:c r="E60" s="149" t="str">
        <x:v>YES</x:v>
      </x:c>
      <x:c r="F60" s="149" t="str">
        <x:f>TRIM($B$4&amp;" pokemon card -PSA -CGC -BGS -graded -slab -proxy -custom")</x:f>
        <x:v>Pikachu pokemon card -PSA -CGC -BGS -graded -slab -proxy -custom</x:v>
      </x:c>
      <x:c r="G60" s="150" t="e">
        <x:f>HYPERLINK("https://www.ebay.co.uk/sch/i.html?_nkw="&amp;SUBSTITUTE(TRIM($B$4&amp;" pokemon card -PSA -CGC -BGS -graded -slab -proxy -custom")," ","+")&amp;"&amp;LH_Auction=1&amp;_sop=1","Open eBay auction search")</x:f>
      </x:c>
      <x:c r="H60" s="148" t="str">
        <x:v>Transposition errors can hide listings.</x:v>
      </x:c>
      <x:c r="I60" s="148" t="str">
        <x:v>Requires manual typo testing.</x:v>
      </x:c>
      <x:c r="J60" s="151" t="str">
        <x:v>Auction • Ending soonest • Raw-focused</x:v>
      </x:c>
    </x:row>
    <x:row r="61">
      <x:c r="A61" s="146" t="n">
        <x:v>54</x:v>
      </x:c>
      <x:c r="B61" s="147" t="n">
        <x:v>83</x:v>
      </x:c>
      <x:c r="C61" s="148" t="str">
        <x:v>Name + cardd</x:v>
      </x:c>
      <x:c r="D61" s="148" t="str">
        <x:v>Typo pattern</x:v>
      </x:c>
      <x:c r="E61" s="149" t="str">
        <x:v>YES</x:v>
      </x:c>
      <x:c r="F61" s="149" t="str">
        <x:f>TRIM($B$4&amp;" cardd -PSA -CGC -BGS -graded -slab -proxy -custom")</x:f>
        <x:v>Pikachu cardd -PSA -CGC -BGS -graded -slab -proxy -custom</x:v>
      </x:c>
      <x:c r="G61" s="150" t="e">
        <x:f>HYPERLINK("https://www.ebay.co.uk/sch/i.html?_nkw="&amp;SUBSTITUTE(TRIM($B$4&amp;" cardd -PSA -CGC -BGS -graded -slab -proxy -custom")," ","+")&amp;"&amp;LH_Auction=1&amp;_sop=1","Open eBay auction search")</x:f>
      </x:c>
      <x:c r="H61" s="148" t="str">
        <x:v>Catches typo in the word card.</x:v>
      </x:c>
      <x:c r="I61" s="148" t="str">
        <x:v>Very low result volume.</x:v>
      </x:c>
      <x:c r="J61" s="151" t="str">
        <x:v>Auction • Ending soonest • Raw-focused</x:v>
      </x:c>
    </x:row>
    <x:row r="62">
      <x:c r="A62" s="146" t="n">
        <x:v>55</x:v>
      </x:c>
      <x:c r="B62" s="147" t="n">
        <x:v>82</x:v>
      </x:c>
      <x:c r="C62" s="148" t="str">
        <x:v>Name + pokeman card</x:v>
      </x:c>
      <x:c r="D62" s="148" t="str">
        <x:v>Typo pattern</x:v>
      </x:c>
      <x:c r="E62" s="149" t="str">
        <x:v>YES</x:v>
      </x:c>
      <x:c r="F62" s="149" t="str">
        <x:f>TRIM($B$4&amp;" pokeman card -PSA -CGC -BGS -graded -slab -proxy -custom")</x:f>
        <x:v>Pikachu pokeman card -PSA -CGC -BGS -graded -slab -proxy -custom</x:v>
      </x:c>
      <x:c r="G62" s="150" t="e">
        <x:f>HYPERLINK("https://www.ebay.co.uk/sch/i.html?_nkw="&amp;SUBSTITUTE(TRIM($B$4&amp;" pokeman card -PSA -CGC -BGS -graded -slab -proxy -custom")," ","+")&amp;"&amp;LH_Auction=1&amp;_sop=1","Open eBay auction search")</x:f>
      </x:c>
      <x:c r="H62" s="148" t="str">
        <x:v>Targets misspelt Pokémon listings.</x:v>
      </x:c>
      <x:c r="I62" s="148" t="str">
        <x:v>May include novelty items.</x:v>
      </x:c>
      <x:c r="J62" s="151" t="str">
        <x:v>Auction • Ending soonest • Raw-focused</x:v>
      </x:c>
    </x:row>
    <x:row r="63">
      <x:c r="A63" s="146" t="n">
        <x:v>56</x:v>
      </x:c>
      <x:c r="B63" s="147" t="n">
        <x:v>82</x:v>
      </x:c>
      <x:c r="C63" s="148" t="str">
        <x:v>Name + pokémon trading</x:v>
      </x:c>
      <x:c r="D63" s="148" t="str">
        <x:v>Typo pattern</x:v>
      </x:c>
      <x:c r="E63" s="149" t="str">
        <x:v>YES</x:v>
      </x:c>
      <x:c r="F63" s="149" t="str">
        <x:f>TRIM($B$4&amp;" pokemon trading -PSA -CGC -BGS -graded -slab -proxy -custom")</x:f>
        <x:v>Pikachu pokemon trading -PSA -CGC -BGS -graded -slab -proxy -custom</x:v>
      </x:c>
      <x:c r="G63" s="150" t="e">
        <x:f>HYPERLINK("https://www.ebay.co.uk/sch/i.html?_nkw="&amp;SUBSTITUTE(TRIM($B$4&amp;" pokemon trading -PSA -CGC -BGS -graded -slab -proxy -custom")," ","+")&amp;"&amp;LH_Auction=1&amp;_sop=1","Open eBay auction search")</x:f>
      </x:c>
      <x:c r="H63" s="148" t="str">
        <x:v>Broad casual wording.</x:v>
      </x:c>
      <x:c r="I63" s="148" t="str">
        <x:v>Can include non-card items.</x:v>
      </x:c>
      <x:c r="J63" s="151" t="str">
        <x:v>Auction • Ending soonest • Raw-focused</x:v>
      </x:c>
    </x:row>
    <x:row r="64">
      <x:c r="A64" s="146" t="n">
        <x:v>57</x:v>
      </x:c>
      <x:c r="B64" s="147" t="n">
        <x:v>82</x:v>
      </x:c>
      <x:c r="C64" s="148" t="str">
        <x:v>Name + pokimon card</x:v>
      </x:c>
      <x:c r="D64" s="148" t="str">
        <x:v>Typo pattern</x:v>
      </x:c>
      <x:c r="E64" s="149" t="str">
        <x:v>YES</x:v>
      </x:c>
      <x:c r="F64" s="149" t="str">
        <x:f>TRIM($B$4&amp;" pokimon card -PSA -CGC -BGS -graded -slab -proxy -custom")</x:f>
        <x:v>Pikachu pokimon card -PSA -CGC -BGS -graded -slab -proxy -custom</x:v>
      </x:c>
      <x:c r="G64" s="150" t="e">
        <x:f>HYPERLINK("https://www.ebay.co.uk/sch/i.html?_nkw="&amp;SUBSTITUTE(TRIM($B$4&amp;" pokimon card -PSA -CGC -BGS -graded -slab -proxy -custom")," ","+")&amp;"&amp;LH_Auction=1&amp;_sop=1","Open eBay auction search")</x:f>
      </x:c>
      <x:c r="H64" s="148" t="str">
        <x:v>Common misspelling.</x:v>
      </x:c>
      <x:c r="I64" s="148" t="str">
        <x:v>Low result volume.</x:v>
      </x:c>
      <x:c r="J64" s="151" t="str">
        <x:v>Auction • Ending soonest • Raw-focused</x:v>
      </x:c>
    </x:row>
    <x:row r="65">
      <x:c r="A65" s="146" t="n">
        <x:v>58</x:v>
      </x:c>
      <x:c r="B65" s="147" t="n">
        <x:v>81</x:v>
      </x:c>
      <x:c r="C65" s="148" t="str">
        <x:v>Name + pokeman holo</x:v>
      </x:c>
      <x:c r="D65" s="148" t="str">
        <x:v>Typo pattern</x:v>
      </x:c>
      <x:c r="E65" s="149" t="str">
        <x:v>YES</x:v>
      </x:c>
      <x:c r="F65" s="149" t="str">
        <x:f>TRIM($B$4&amp;" pokeman holo -PSA -CGC -BGS -graded -slab -proxy -custom")</x:f>
        <x:v>Pikachu pokeman holo -PSA -CGC -BGS -graded -slab -proxy -custom</x:v>
      </x:c>
      <x:c r="G65" s="150" t="e">
        <x:f>HYPERLINK("https://www.ebay.co.uk/sch/i.html?_nkw="&amp;SUBSTITUTE(TRIM($B$4&amp;" pokeman holo -PSA -CGC -BGS -graded -slab -proxy -custom")," ","+")&amp;"&amp;LH_Auction=1&amp;_sop=1","Open eBay auction search")</x:f>
      </x:c>
      <x:c r="H65" s="148" t="str">
        <x:v>Combines two weak-title signals.</x:v>
      </x:c>
      <x:c r="I65" s="148" t="str">
        <x:v>Very low result volume.</x:v>
      </x:c>
      <x:c r="J65" s="151" t="str">
        <x:v>Auction • Ending soonest • Raw-focused</x:v>
      </x:c>
    </x:row>
    <x:row r="66">
      <x:c r="A66" s="146" t="n">
        <x:v>59</x:v>
      </x:c>
      <x:c r="B66" s="147" t="n">
        <x:v>81</x:v>
      </x:c>
      <x:c r="C66" s="148" t="str">
        <x:v>Name + pokemon cards single</x:v>
      </x:c>
      <x:c r="D66" s="148" t="str">
        <x:v>Vague wording</x:v>
      </x:c>
      <x:c r="E66" s="149" t="str">
        <x:v>YES</x:v>
      </x:c>
      <x:c r="F66" s="149" t="str">
        <x:f>TRIM($B$4&amp;" pokemon cards single -PSA -CGC -BGS -graded -slab -proxy -custom")</x:f>
        <x:v>Pikachu pokemon cards single -PSA -CGC -BGS -graded -slab -proxy -custom</x:v>
      </x:c>
      <x:c r="G66" s="150" t="e">
        <x:f>HYPERLINK("https://www.ebay.co.uk/sch/i.html?_nkw="&amp;SUBSTITUTE(TRIM($B$4&amp;" pokemon cards single -PSA -CGC -BGS -graded -slab -proxy -custom")," ","+")&amp;"&amp;LH_Auction=1&amp;_sop=1","Open eBay auction search")</x:f>
      </x:c>
      <x:c r="H66" s="148" t="str">
        <x:v>Targets awkwardly titled singles.</x:v>
      </x:c>
      <x:c r="I66" s="148" t="str">
        <x:v>May include bundles.</x:v>
      </x:c>
      <x:c r="J66" s="151" t="str">
        <x:v>Auction • Ending soonest • Raw-focused</x:v>
      </x:c>
    </x:row>
    <x:row r="67">
      <x:c r="A67" s="146" t="n">
        <x:v>60</x:v>
      </x:c>
      <x:c r="B67" s="147" t="n">
        <x:v>81</x:v>
      </x:c>
      <x:c r="C67" s="148" t="str">
        <x:v>Name + old shiny card</x:v>
      </x:c>
      <x:c r="D67" s="148" t="str">
        <x:v>Vague wording</x:v>
      </x:c>
      <x:c r="E67" s="149" t="str">
        <x:v>YES</x:v>
      </x:c>
      <x:c r="F67" s="149" t="str">
        <x:f>TRIM($B$4&amp;" old shiny card -PSA -CGC -BGS -graded -slab -proxy -custom")</x:f>
        <x:v>Pikachu old shiny card -PSA -CGC -BGS -graded -slab -proxy -custom</x:v>
      </x:c>
      <x:c r="G67" s="150" t="e">
        <x:f>HYPERLINK("https://www.ebay.co.uk/sch/i.html?_nkw="&amp;SUBSTITUTE(TRIM($B$4&amp;" old shiny card -PSA -CGC -BGS -graded -slab -proxy -custom")," ","+")&amp;"&amp;LH_Auction=1&amp;_sop=1","Open eBay auction search")</x:f>
      </x:c>
      <x:c r="H67" s="148" t="str">
        <x:v>Casual description for vintage holo.</x:v>
      </x:c>
      <x:c r="I67" s="148" t="str">
        <x:v>Broad and noisy.</x:v>
      </x:c>
      <x:c r="J67" s="151" t="str">
        <x:v>Auction • Ending soonest • Raw-focused</x:v>
      </x:c>
    </x:row>
    <x:row r="68">
      <x:c r="A68" s="146" t="n">
        <x:v>61</x:v>
      </x:c>
      <x:c r="B68" s="147" t="n">
        <x:v>80</x:v>
      </x:c>
      <x:c r="C68" s="148" t="str">
        <x:v>Name + childhood card</x:v>
      </x:c>
      <x:c r="D68" s="148" t="str">
        <x:v>Story wording</x:v>
      </x:c>
      <x:c r="E68" s="149" t="str">
        <x:v>YES</x:v>
      </x:c>
      <x:c r="F68" s="149" t="str">
        <x:f>TRIM($B$4&amp;" childhood pokemon card -PSA -CGC -BGS -graded -slab -proxy -custom")</x:f>
        <x:v>Pikachu childhood pokemon card -PSA -CGC -BGS -graded -slab -proxy -custom</x:v>
      </x:c>
      <x:c r="G68" s="150" t="e">
        <x:f>HYPERLINK("https://www.ebay.co.uk/sch/i.html?_nkw="&amp;SUBSTITUTE(TRIM($B$4&amp;" childhood pokemon card -PSA -CGC -BGS -graded -slab -proxy -custom")," ","+")&amp;"&amp;LH_Auction=1&amp;_sop=1","Open eBay auction search")</x:f>
      </x:c>
      <x:c r="H68" s="148" t="str">
        <x:v>Seller may be clearing an old collection.</x:v>
      </x:c>
      <x:c r="I68" s="148" t="str">
        <x:v>Condition may be poor.</x:v>
      </x:c>
      <x:c r="J68" s="151" t="str">
        <x:v>Auction • Ending soonest • Raw-focused</x:v>
      </x:c>
    </x:row>
    <x:row r="69">
      <x:c r="A69" s="146" t="n">
        <x:v>62</x:v>
      </x:c>
      <x:c r="B69" s="147" t="n">
        <x:v>80</x:v>
      </x:c>
      <x:c r="C69" s="148" t="str">
        <x:v>Name + found card</x:v>
      </x:c>
      <x:c r="D69" s="148" t="str">
        <x:v>Story wording</x:v>
      </x:c>
      <x:c r="E69" s="149" t="str">
        <x:v>YES</x:v>
      </x:c>
      <x:c r="F69" s="149" t="str">
        <x:f>TRIM($B$4&amp;" found pokemon card -PSA -CGC -BGS -graded -slab -proxy -custom")</x:f>
        <x:v>Pikachu found pokemon card -PSA -CGC -BGS -graded -slab -proxy -custom</x:v>
      </x:c>
      <x:c r="G69" s="150" t="e">
        <x:f>HYPERLINK("https://www.ebay.co.uk/sch/i.html?_nkw="&amp;SUBSTITUTE(TRIM($B$4&amp;" found pokemon card -PSA -CGC -BGS -graded -slab -proxy -custom")," ","+")&amp;"&amp;LH_Auction=1&amp;_sop=1","Open eBay auction search")</x:f>
      </x:c>
      <x:c r="H69" s="148" t="str">
        <x:v>Targets non-specialist sellers.</x:v>
      </x:c>
      <x:c r="I69" s="148" t="str">
        <x:v>Risk of poor storage.</x:v>
      </x:c>
      <x:c r="J69" s="151" t="str">
        <x:v>Auction • Ending soonest • Raw-focused</x:v>
      </x:c>
    </x:row>
    <x:row r="70">
      <x:c r="A70" s="146" t="n">
        <x:v>63</x:v>
      </x:c>
      <x:c r="B70" s="147" t="n">
        <x:v>80</x:v>
      </x:c>
      <x:c r="C70" s="148" t="str">
        <x:v>Name + attic card</x:v>
      </x:c>
      <x:c r="D70" s="148" t="str">
        <x:v>Story wording</x:v>
      </x:c>
      <x:c r="E70" s="149" t="str">
        <x:v>YES</x:v>
      </x:c>
      <x:c r="F70" s="149" t="str">
        <x:f>TRIM($B$4&amp;" attic pokemon card -PSA -CGC -BGS -graded -slab -proxy -custom")</x:f>
        <x:v>Pikachu attic pokemon card -PSA -CGC -BGS -graded -slab -proxy -custom</x:v>
      </x:c>
      <x:c r="G70" s="150" t="e">
        <x:f>HYPERLINK("https://www.ebay.co.uk/sch/i.html?_nkw="&amp;SUBSTITUTE(TRIM($B$4&amp;" attic pokemon card -PSA -CGC -BGS -graded -slab -proxy -custom")," ","+")&amp;"&amp;LH_Auction=1&amp;_sop=1","Open eBay auction search")</x:f>
      </x:c>
      <x:c r="H70" s="148" t="str">
        <x:v>Potentially overlooked older cards.</x:v>
      </x:c>
      <x:c r="I70" s="148" t="str">
        <x:v>Moisture and warping risk.</x:v>
      </x:c>
      <x:c r="J70" s="151" t="str">
        <x:v>Auction • Ending soonest • Raw-focused</x:v>
      </x:c>
    </x:row>
    <x:row r="71">
      <x:c r="A71" s="146" t="n">
        <x:v>64</x:v>
      </x:c>
      <x:c r="B71" s="147" t="n">
        <x:v>79</x:v>
      </x:c>
      <x:c r="C71" s="148" t="str">
        <x:v>Name + loft card</x:v>
      </x:c>
      <x:c r="D71" s="148" t="str">
        <x:v>Story wording</x:v>
      </x:c>
      <x:c r="E71" s="149" t="str">
        <x:v>YES</x:v>
      </x:c>
      <x:c r="F71" s="149" t="str">
        <x:f>TRIM($B$4&amp;" loft pokemon card -PSA -CGC -BGS -graded -slab -proxy -custom")</x:f>
        <x:v>Pikachu loft pokemon card -PSA -CGC -BGS -graded -slab -proxy -custom</x:v>
      </x:c>
      <x:c r="G71" s="150" t="e">
        <x:f>HYPERLINK("https://www.ebay.co.uk/sch/i.html?_nkw="&amp;SUBSTITUTE(TRIM($B$4&amp;" loft pokemon card -PSA -CGC -BGS -graded -slab -proxy -custom")," ","+")&amp;"&amp;LH_Auction=1&amp;_sop=1","Open eBay auction search")</x:f>
      </x:c>
      <x:c r="H71" s="148" t="str">
        <x:v>UK-specific storage wording.</x:v>
      </x:c>
      <x:c r="I71" s="148" t="str">
        <x:v>Condition risk.</x:v>
      </x:c>
      <x:c r="J71" s="151" t="str">
        <x:v>Auction • Ending soonest • Raw-focused</x:v>
      </x:c>
    </x:row>
    <x:row r="72">
      <x:c r="A72" s="146" t="n">
        <x:v>65</x:v>
      </x:c>
      <x:c r="B72" s="147" t="n">
        <x:v>79</x:v>
      </x:c>
      <x:c r="C72" s="148" t="str">
        <x:v>Name + old collection</x:v>
      </x:c>
      <x:c r="D72" s="148" t="str">
        <x:v>Story wording</x:v>
      </x:c>
      <x:c r="E72" s="149" t="str">
        <x:v>YES</x:v>
      </x:c>
      <x:c r="F72" s="149" t="str">
        <x:f>TRIM($B$4&amp;" old pokemon collection -PSA -CGC -BGS -graded -slab -proxy -custom")</x:f>
        <x:v>Pikachu old pokemon collection -PSA -CGC -BGS -graded -slab -proxy -custom</x:v>
      </x:c>
      <x:c r="G72" s="150" t="e">
        <x:f>HYPERLINK("https://www.ebay.co.uk/sch/i.html?_nkw="&amp;SUBSTITUTE(TRIM($B$4&amp;" old pokemon collection -PSA -CGC -BGS -graded -slab -proxy -custom")," ","+")&amp;"&amp;LH_Auction=1&amp;_sop=1","Open eBay auction search")</x:f>
      </x:c>
      <x:c r="H72" s="148" t="str">
        <x:v>May reveal singles buried in lots.</x:v>
      </x:c>
      <x:c r="I72" s="148" t="str">
        <x:v>Often bundle listings.</x:v>
      </x:c>
      <x:c r="J72" s="151" t="str">
        <x:v>Auction • Ending soonest • Raw-focused</x:v>
      </x:c>
    </x:row>
    <x:row r="73">
      <x:c r="A73" s="146" t="n">
        <x:v>66</x:v>
      </x:c>
      <x:c r="B73" s="147" t="n">
        <x:v>79</x:v>
      </x:c>
      <x:c r="C73" s="148" t="str">
        <x:v>Name + original card</x:v>
      </x:c>
      <x:c r="D73" s="148" t="str">
        <x:v>Vague wording</x:v>
      </x:c>
      <x:c r="E73" s="149" t="str">
        <x:v>YES</x:v>
      </x:c>
      <x:c r="F73" s="149" t="str">
        <x:f>TRIM($B$4&amp;" original pokemon card -PSA -CGC -BGS -graded -slab -proxy -custom")</x:f>
        <x:v>Pikachu original pokemon card -PSA -CGC -BGS -graded -slab -proxy -custom</x:v>
      </x:c>
      <x:c r="G73" s="150" t="e">
        <x:f>HYPERLINK("https://www.ebay.co.uk/sch/i.html?_nkw="&amp;SUBSTITUTE(TRIM($B$4&amp;" original pokemon card -PSA -CGC -BGS -graded -slab -proxy -custom")," ","+")&amp;"&amp;LH_Auction=1&amp;_sop=1","Open eBay auction search")</x:f>
      </x:c>
      <x:c r="H73" s="148" t="str">
        <x:v>Casual term for older cards.</x:v>
      </x:c>
      <x:c r="I73" s="148" t="str">
        <x:v>“Original” may be inaccurate.</x:v>
      </x:c>
      <x:c r="J73" s="151" t="str">
        <x:v>Auction • Ending soonest • Raw-focused</x:v>
      </x:c>
    </x:row>
    <x:row r="74">
      <x:c r="A74" s="146" t="n">
        <x:v>67</x:v>
      </x:c>
      <x:c r="B74" s="147" t="n">
        <x:v>78</x:v>
      </x:c>
      <x:c r="C74" s="148" t="str">
        <x:v>Name + classic card</x:v>
      </x:c>
      <x:c r="D74" s="148" t="str">
        <x:v>Vague wording</x:v>
      </x:c>
      <x:c r="E74" s="149" t="str">
        <x:v>YES</x:v>
      </x:c>
      <x:c r="F74" s="149" t="str">
        <x:f>TRIM($B$4&amp;" classic pokemon card -PSA -CGC -BGS -graded -slab -proxy -custom")</x:f>
        <x:v>Pikachu classic pokemon card -PSA -CGC -BGS -graded -slab -proxy -custom</x:v>
      </x:c>
      <x:c r="G74" s="150" t="e">
        <x:f>HYPERLINK("https://www.ebay.co.uk/sch/i.html?_nkw="&amp;SUBSTITUTE(TRIM($B$4&amp;" classic pokemon card -PSA -CGC -BGS -graded -slab -proxy -custom")," ","+")&amp;"&amp;LH_Auction=1&amp;_sop=1","Open eBay auction search")</x:f>
      </x:c>
      <x:c r="H74" s="148" t="str">
        <x:v>Finds nostalgic listings.</x:v>
      </x:c>
      <x:c r="I74" s="148" t="str">
        <x:v>Very broad.</x:v>
      </x:c>
      <x:c r="J74" s="151" t="str">
        <x:v>Auction • Ending soonest • Raw-focused</x:v>
      </x:c>
    </x:row>
    <x:row r="75">
      <x:c r="A75" s="146" t="n">
        <x:v>68</x:v>
      </x:c>
      <x:c r="B75" s="147" t="n">
        <x:v>78</x:v>
      </x:c>
      <x:c r="C75" s="148" t="str">
        <x:v>Name + retro card</x:v>
      </x:c>
      <x:c r="D75" s="148" t="str">
        <x:v>Vague wording</x:v>
      </x:c>
      <x:c r="E75" s="149" t="str">
        <x:v>YES</x:v>
      </x:c>
      <x:c r="F75" s="149" t="str">
        <x:f>TRIM($B$4&amp;" retro pokemon card -PSA -CGC -BGS -graded -slab -proxy -custom")</x:f>
        <x:v>Pikachu retro pokemon card -PSA -CGC -BGS -graded -slab -proxy -custom</x:v>
      </x:c>
      <x:c r="G75" s="150" t="e">
        <x:f>HYPERLINK("https://www.ebay.co.uk/sch/i.html?_nkw="&amp;SUBSTITUTE(TRIM($B$4&amp;" retro pokemon card -PSA -CGC -BGS -graded -slab -proxy -custom")," ","+")&amp;"&amp;LH_Auction=1&amp;_sop=1","Open eBay auction search")</x:f>
      </x:c>
      <x:c r="H75" s="148" t="str">
        <x:v>Alternative nostalgic wording.</x:v>
      </x:c>
      <x:c r="I75" s="148" t="str">
        <x:v>Can include modern retro-style products.</x:v>
      </x:c>
      <x:c r="J75" s="151" t="str">
        <x:v>Auction • Ending soonest • Raw-focused</x:v>
      </x:c>
    </x:row>
    <x:row r="76">
      <x:c r="A76" s="146" t="n">
        <x:v>69</x:v>
      </x:c>
      <x:c r="B76" s="147" t="n">
        <x:v>78</x:v>
      </x:c>
      <x:c r="C76" s="148" t="str">
        <x:v>Name + rare old holo</x:v>
      </x:c>
      <x:c r="D76" s="148" t="str">
        <x:v>Vague wording</x:v>
      </x:c>
      <x:c r="E76" s="149" t="str">
        <x:v>YES</x:v>
      </x:c>
      <x:c r="F76" s="149" t="str">
        <x:f>TRIM($B$4&amp;" rare old holo pokemon -PSA -CGC -BGS -graded -slab -proxy -custom")</x:f>
        <x:v>Pikachu rare old holo pokemon -PSA -CGC -BGS -graded -slab -proxy -custom</x:v>
      </x:c>
      <x:c r="G76" s="150" t="e">
        <x:f>HYPERLINK("https://www.ebay.co.uk/sch/i.html?_nkw="&amp;SUBSTITUTE(TRIM($B$4&amp;" rare old holo pokemon -PSA -CGC -BGS -graded -slab -proxy -custom")," ","+")&amp;"&amp;LH_Auction=1&amp;_sop=1","Open eBay auction search")</x:f>
      </x:c>
      <x:c r="H76" s="148" t="str">
        <x:v>Multiple casual keywords.</x:v>
      </x:c>
      <x:c r="I76" s="148" t="str">
        <x:v>Can attract speculative pricing.</x:v>
      </x:c>
      <x:c r="J76" s="151" t="str">
        <x:v>Auction • Ending soonest • Raw-focused</x:v>
      </x:c>
    </x:row>
    <x:row r="77">
      <x:c r="A77" s="146" t="n">
        <x:v>70</x:v>
      </x:c>
      <x:c r="B77" s="147" t="n">
        <x:v>77</x:v>
      </x:c>
      <x:c r="C77" s="148" t="str">
        <x:v>Name + nice condition</x:v>
      </x:c>
      <x:c r="D77" s="148" t="str">
        <x:v>Condition wording</x:v>
      </x:c>
      <x:c r="E77" s="149" t="str">
        <x:v>YES</x:v>
      </x:c>
      <x:c r="F77" s="149" t="str">
        <x:f>TRIM($B$4&amp;" pokemon card nice condition -PSA -CGC -BGS -graded -slab -proxy -custom")</x:f>
        <x:v>Pikachu pokemon card nice condition -PSA -CGC -BGS -graded -slab -proxy -custom</x:v>
      </x:c>
      <x:c r="G77" s="150" t="e">
        <x:f>HYPERLINK("https://www.ebay.co.uk/sch/i.html?_nkw="&amp;SUBSTITUTE(TRIM($B$4&amp;" pokemon card nice condition -PSA -CGC -BGS -graded -slab -proxy -custom")," ","+")&amp;"&amp;LH_Auction=1&amp;_sop=1","Open eBay auction search")</x:f>
      </x:c>
      <x:c r="H77" s="148" t="str">
        <x:v>Targets informal condition descriptions.</x:v>
      </x:c>
      <x:c r="I77" s="148" t="str">
        <x:v>Photos must override wording.</x:v>
      </x:c>
      <x:c r="J77" s="151" t="str">
        <x:v>Auction • Ending soonest • Raw-focused</x:v>
      </x:c>
    </x:row>
    <x:row r="78">
      <x:c r="A78" s="146" t="n">
        <x:v>71</x:v>
      </x:c>
      <x:c r="B78" s="147" t="n">
        <x:v>77</x:v>
      </x:c>
      <x:c r="C78" s="148" t="str">
        <x:v>Old Pokémon cards single</x:v>
      </x:c>
      <x:c r="D78" s="148" t="str">
        <x:v>Generic vintage</x:v>
      </x:c>
      <x:c r="E78" s="149" t="str">
        <x:v>NO</x:v>
      </x:c>
      <x:c r="F78" s="149" t="str">
        <x:f>"old pokemon cards single -PSA -CGC -BGS -graded -slab -proxy -custom"</x:f>
        <x:v>old pokemon cards single -PSA -CGC -BGS -graded -slab -proxy -custom</x:v>
      </x:c>
      <x:c r="G78" s="150" t="e">
        <x:f>HYPERLINK("https://www.ebay.co.uk/sch/i.html?_nkw="&amp;SUBSTITUTE(F78," ","+")&amp;"&amp;LH_Auction=1&amp;_sop=1","Open eBay auction search")</x:f>
      </x:c>
      <x:c r="H78" s="148" t="str">
        <x:v>Finds unidentified individual vintage cards.</x:v>
      </x:c>
      <x:c r="I78" s="148" t="str">
        <x:v>High noise; inspect all images.</x:v>
      </x:c>
      <x:c r="J78" s="151" t="str">
        <x:v>Auction • Ending soonest • Raw-focused</x:v>
      </x:c>
    </x:row>
    <x:row r="79">
      <x:c r="A79" s="146" t="n">
        <x:v>72</x:v>
      </x:c>
      <x:c r="B79" s="147" t="n">
        <x:v>77</x:v>
      </x:c>
      <x:c r="C79" s="148" t="str">
        <x:v>Vintage Pokémon card auction</x:v>
      </x:c>
      <x:c r="D79" s="148" t="str">
        <x:v>Generic vintage</x:v>
      </x:c>
      <x:c r="E79" s="149" t="str">
        <x:v>NO</x:v>
      </x:c>
      <x:c r="F79" s="149" t="str">
        <x:f>"vintage pokemon card -PSA -CGC -BGS -graded -slab -proxy -custom"</x:f>
        <x:v>vintage pokemon card -PSA -CGC -BGS -graded -slab -proxy -custom</x:v>
      </x:c>
      <x:c r="G79" s="150" t="e">
        <x:f>HYPERLINK("https://www.ebay.co.uk/sch/i.html?_nkw="&amp;SUBSTITUTE(F79," ","+")&amp;"&amp;LH_Auction=1&amp;_sop=1","Open eBay auction search")</x:f>
      </x:c>
      <x:c r="H79" s="148" t="str">
        <x:v>Broad vintage auction feed.</x:v>
      </x:c>
      <x:c r="I79" s="148" t="str">
        <x:v>Many overpriced listings.</x:v>
      </x:c>
      <x:c r="J79" s="151" t="str">
        <x:v>Auction • Ending soonest • Raw-focused</x:v>
      </x:c>
    </x:row>
    <x:row r="80">
      <x:c r="A80" s="146" t="n">
        <x:v>73</x:v>
      </x:c>
      <x:c r="B80" s="147" t="n">
        <x:v>76</x:v>
      </x:c>
      <x:c r="C80" s="148" t="str">
        <x:v>1999 Pokémon card auction</x:v>
      </x:c>
      <x:c r="D80" s="148" t="str">
        <x:v>Generic vintage</x:v>
      </x:c>
      <x:c r="E80" s="149" t="str">
        <x:v>NO</x:v>
      </x:c>
      <x:c r="F80" s="149" t="str">
        <x:f>"1999 pokemon card -PSA -CGC -BGS -graded -slab -proxy -custom"</x:f>
        <x:v>1999 pokemon card -PSA -CGC -BGS -graded -slab -proxy -custom</x:v>
      </x:c>
      <x:c r="G80" s="150" t="e">
        <x:f>HYPERLINK("https://www.ebay.co.uk/sch/i.html?_nkw="&amp;SUBSTITUTE(F80," ","+")&amp;"&amp;LH_Auction=1&amp;_sop=1","Open eBay auction search")</x:f>
      </x:c>
      <x:c r="H80" s="148" t="str">
        <x:v>Targets early cards without names.</x:v>
      </x:c>
      <x:c r="I80" s="148" t="str">
        <x:v>Check reprints and language.</x:v>
      </x:c>
      <x:c r="J80" s="151" t="str">
        <x:v>Auction • Ending soonest • Raw-focused</x:v>
      </x:c>
    </x:row>
    <x:row r="81">
      <x:c r="A81" s="146" t="n">
        <x:v>74</x:v>
      </x:c>
      <x:c r="B81" s="147" t="n">
        <x:v>76</x:v>
      </x:c>
      <x:c r="C81" s="148" t="str">
        <x:v>2000 Pokémon card auction</x:v>
      </x:c>
      <x:c r="D81" s="148" t="str">
        <x:v>Generic vintage</x:v>
      </x:c>
      <x:c r="E81" s="149" t="str">
        <x:v>NO</x:v>
      </x:c>
      <x:c r="F81" s="149" t="str">
        <x:f>"2000 pokemon card -PSA -CGC -BGS -graded -slab -proxy -custom"</x:f>
        <x:v>2000 pokemon card -PSA -CGC -BGS -graded -slab -proxy -custom</x:v>
      </x:c>
      <x:c r="G81" s="150" t="e">
        <x:f>HYPERLINK("https://www.ebay.co.uk/sch/i.html?_nkw="&amp;SUBSTITUTE(F81," ","+")&amp;"&amp;LH_Auction=1&amp;_sop=1","Open eBay auction search")</x:f>
      </x:c>
      <x:c r="H81" s="148" t="str">
        <x:v>Targets Team Rocket, Gym and Neo eras.</x:v>
      </x:c>
      <x:c r="I81" s="148" t="str">
        <x:v>Year may be wrong.</x:v>
      </x:c>
      <x:c r="J81" s="151" t="str">
        <x:v>Auction • Ending soonest • Raw-focused</x:v>
      </x:c>
    </x:row>
    <x:row r="82">
      <x:c r="A82" s="146" t="n">
        <x:v>75</x:v>
      </x:c>
      <x:c r="B82" s="147" t="n">
        <x:v>76</x:v>
      </x:c>
      <x:c r="C82" s="148" t="str">
        <x:v>WOTC Pokémon card auction</x:v>
      </x:c>
      <x:c r="D82" s="148" t="str">
        <x:v>Generic vintage</x:v>
      </x:c>
      <x:c r="E82" s="149" t="str">
        <x:v>NO</x:v>
      </x:c>
      <x:c r="F82" s="149" t="str">
        <x:f>"WOTC pokemon card -PSA -CGC -BGS -graded -slab -proxy -custom"</x:f>
        <x:v>WOTC pokemon card -PSA -CGC -BGS -graded -slab -proxy -custom</x:v>
      </x:c>
      <x:c r="G82" s="150" t="e">
        <x:f>HYPERLINK("https://www.ebay.co.uk/sch/i.html?_nkw="&amp;SUBSTITUTE(F82," ","+")&amp;"&amp;LH_Auction=1&amp;_sop=1","Open eBay auction search")</x:f>
      </x:c>
      <x:c r="H82" s="148" t="str">
        <x:v>Targets early English-era singles.</x:v>
      </x:c>
      <x:c r="I82" s="148" t="str">
        <x:v>Some sellers misuse WOTC.</x:v>
      </x:c>
      <x:c r="J82" s="151" t="str">
        <x:v>Auction • Ending soonest • Raw-focused</x:v>
      </x:c>
    </x:row>
    <x:row r="83">
      <x:c r="A83" s="146" t="n">
        <x:v>76</x:v>
      </x:c>
      <x:c r="B83" s="147" t="n">
        <x:v>75</x:v>
      </x:c>
      <x:c r="C83" s="148" t="str">
        <x:v>Wizards Pokémon card auction</x:v>
      </x:c>
      <x:c r="D83" s="148" t="str">
        <x:v>Generic vintage</x:v>
      </x:c>
      <x:c r="E83" s="149" t="str">
        <x:v>NO</x:v>
      </x:c>
      <x:c r="F83" s="149" t="str">
        <x:f>"Wizards pokemon card -PSA -CGC -BGS -graded -slab -proxy -custom"</x:f>
        <x:v>Wizards pokemon card -PSA -CGC -BGS -graded -slab -proxy -custom</x:v>
      </x:c>
      <x:c r="G83" s="150" t="e">
        <x:f>HYPERLINK("https://www.ebay.co.uk/sch/i.html?_nkw="&amp;SUBSTITUTE(F83," ","+")&amp;"&amp;LH_Auction=1&amp;_sop=1","Open eBay auction search")</x:f>
      </x:c>
      <x:c r="H83" s="148" t="str">
        <x:v>Alternative WOTC wording.</x:v>
      </x:c>
      <x:c r="I83" s="148" t="str">
        <x:v>Can include non-card items.</x:v>
      </x:c>
      <x:c r="J83" s="151" t="str">
        <x:v>Auction • Ending soonest • Raw-focused</x:v>
      </x:c>
    </x:row>
    <x:row r="84">
      <x:c r="A84" s="146" t="n">
        <x:v>77</x:v>
      </x:c>
      <x:c r="B84" s="147" t="n">
        <x:v>75</x:v>
      </x:c>
      <x:c r="C84" s="148" t="str">
        <x:v>Old holo Pokémon card</x:v>
      </x:c>
      <x:c r="D84" s="148" t="str">
        <x:v>Generic vintage</x:v>
      </x:c>
      <x:c r="E84" s="149" t="str">
        <x:v>NO</x:v>
      </x:c>
      <x:c r="F84" s="149" t="str">
        <x:f>"old holo pokemon card -PSA -CGC -BGS -graded -slab -proxy -custom"</x:f>
        <x:v>old holo pokemon card -PSA -CGC -BGS -graded -slab -proxy -custom</x:v>
      </x:c>
      <x:c r="G84" s="150" t="e">
        <x:f>HYPERLINK("https://www.ebay.co.uk/sch/i.html?_nkw="&amp;SUBSTITUTE(F84," ","+")&amp;"&amp;LH_Auction=1&amp;_sop=1","Open eBay auction search")</x:f>
      </x:c>
      <x:c r="H84" s="148" t="str">
        <x:v>Finds weakly identified vintage holos.</x:v>
      </x:c>
      <x:c r="I84" s="148" t="str">
        <x:v>Heavy condition variation.</x:v>
      </x:c>
      <x:c r="J84" s="151" t="str">
        <x:v>Auction • Ending soonest • Raw-focused</x:v>
      </x:c>
    </x:row>
    <x:row r="85">
      <x:c r="A85" s="146" t="n">
        <x:v>78</x:v>
      </x:c>
      <x:c r="B85" s="147" t="n">
        <x:v>75</x:v>
      </x:c>
      <x:c r="C85" s="148" t="str">
        <x:v>Old shiny Pokémon card</x:v>
      </x:c>
      <x:c r="D85" s="148" t="str">
        <x:v>Generic vague</x:v>
      </x:c>
      <x:c r="E85" s="149" t="str">
        <x:v>NO</x:v>
      </x:c>
      <x:c r="F85" s="149" t="str">
        <x:f>"old shiny pokemon card -PSA -CGC -BGS -graded -slab -proxy -custom"</x:f>
        <x:v>old shiny pokemon card -PSA -CGC -BGS -graded -slab -proxy -custom</x:v>
      </x:c>
      <x:c r="G85" s="150" t="e">
        <x:f>HYPERLINK("https://www.ebay.co.uk/sch/i.html?_nkw="&amp;SUBSTITUTE(F85," ","+")&amp;"&amp;LH_Auction=1&amp;_sop=1","Open eBay auction search")</x:f>
      </x:c>
      <x:c r="H85" s="148" t="str">
        <x:v>Casual term for holo cards.</x:v>
      </x:c>
      <x:c r="I85" s="148" t="str">
        <x:v>Very broad.</x:v>
      </x:c>
      <x:c r="J85" s="151" t="str">
        <x:v>Auction • Ending soonest • Raw-focused</x:v>
      </x:c>
    </x:row>
    <x:row r="86">
      <x:c r="A86" s="146" t="n">
        <x:v>79</x:v>
      </x:c>
      <x:c r="B86" s="147" t="n">
        <x:v>74</x:v>
      </x:c>
      <x:c r="C86" s="148" t="str">
        <x:v>First edition Pokémon card old</x:v>
      </x:c>
      <x:c r="D86" s="148" t="str">
        <x:v>Generic vintage</x:v>
      </x:c>
      <x:c r="E86" s="149" t="str">
        <x:v>NO</x:v>
      </x:c>
      <x:c r="F86" s="149" t="str">
        <x:f>"first edition pokemon card old -PSA -CGC -BGS -graded -slab -proxy -custom"</x:f>
        <x:v>first edition pokemon card old -PSA -CGC -BGS -graded -slab -proxy -custom</x:v>
      </x:c>
      <x:c r="G86" s="150" t="e">
        <x:f>HYPERLINK("https://www.ebay.co.uk/sch/i.html?_nkw="&amp;SUBSTITUTE(F86," ","+")&amp;"&amp;LH_Auction=1&amp;_sop=1","Open eBay auction search")</x:f>
      </x:c>
      <x:c r="H86" s="148" t="str">
        <x:v>Targets missing-name listings.</x:v>
      </x:c>
      <x:c r="I86" s="148" t="str">
        <x:v>Confirm stamp and authenticity.</x:v>
      </x:c>
      <x:c r="J86" s="151" t="str">
        <x:v>Auction • Ending soonest • Raw-focused</x:v>
      </x:c>
    </x:row>
    <x:row r="87">
      <x:c r="A87" s="146" t="n">
        <x:v>80</x:v>
      </x:c>
      <x:c r="B87" s="147" t="n">
        <x:v>74</x:v>
      </x:c>
      <x:c r="C87" s="148" t="str">
        <x:v>1st edition Pokémon single</x:v>
      </x:c>
      <x:c r="D87" s="148" t="str">
        <x:v>Generic vintage</x:v>
      </x:c>
      <x:c r="E87" s="149" t="str">
        <x:v>NO</x:v>
      </x:c>
      <x:c r="F87" s="149" t="str">
        <x:f>"1st edition pokemon single -PSA -CGC -BGS -graded -slab -proxy -custom"</x:f>
        <x:v>1st edition pokemon single -PSA -CGC -BGS -graded -slab -proxy -custom</x:v>
      </x:c>
      <x:c r="G87" s="150" t="e">
        <x:f>HYPERLINK("https://www.ebay.co.uk/sch/i.html?_nkw="&amp;SUBSTITUTE(F87," ","+")&amp;"&amp;LH_Auction=1&amp;_sop=1","Open eBay auction search")</x:f>
      </x:c>
      <x:c r="H87" s="148" t="str">
        <x:v>Alternative first-edition wording.</x:v>
      </x:c>
      <x:c r="I87" s="148" t="str">
        <x:v>Counterfeit risk.</x:v>
      </x:c>
      <x:c r="J87" s="151" t="str">
        <x:v>Auction • Ending soonest • Raw-focused</x:v>
      </x:c>
    </x:row>
    <x:row r="88">
      <x:c r="A88" s="146" t="n">
        <x:v>81</x:v>
      </x:c>
      <x:c r="B88" s="147" t="n">
        <x:v>74</x:v>
      </x:c>
      <x:c r="C88" s="148" t="str">
        <x:v>Pokémon card with stamp</x:v>
      </x:c>
      <x:c r="D88" s="148" t="str">
        <x:v>Generic specialist</x:v>
      </x:c>
      <x:c r="E88" s="149" t="str">
        <x:v>NO</x:v>
      </x:c>
      <x:c r="F88" s="149" t="str">
        <x:f>"pokemon card with stamp -PSA -CGC -BGS -graded -slab -proxy -custom"</x:f>
        <x:v>pokemon card with stamp -PSA -CGC -BGS -graded -slab -proxy -custom</x:v>
      </x:c>
      <x:c r="G88" s="150" t="e">
        <x:f>HYPERLINK("https://www.ebay.co.uk/sch/i.html?_nkw="&amp;SUBSTITUTE(F88," ","+")&amp;"&amp;LH_Auction=1&amp;_sop=1","Open eBay auction search")</x:f>
      </x:c>
      <x:c r="H88" s="148" t="str">
        <x:v>Finds stamped promos and 1st Editions.</x:v>
      </x:c>
      <x:c r="I88" s="148" t="str">
        <x:v>Many unrelated stamped products.</x:v>
      </x:c>
      <x:c r="J88" s="151" t="str">
        <x:v>Auction • Ending soonest • Raw-focused</x:v>
      </x:c>
    </x:row>
    <x:row r="89">
      <x:c r="A89" s="146" t="n">
        <x:v>82</x:v>
      </x:c>
      <x:c r="B89" s="147" t="n">
        <x:v>73</x:v>
      </x:c>
      <x:c r="C89" s="148" t="str">
        <x:v>Stamped Pokémon promo</x:v>
      </x:c>
      <x:c r="D89" s="148" t="str">
        <x:v>Generic specialist</x:v>
      </x:c>
      <x:c r="E89" s="149" t="str">
        <x:v>NO</x:v>
      </x:c>
      <x:c r="F89" s="149" t="str">
        <x:f>"stamped pokemon promo -PSA -CGC -BGS -graded -slab -proxy -custom"</x:f>
        <x:v>stamped pokemon promo -PSA -CGC -BGS -graded -slab -proxy -custom</x:v>
      </x:c>
      <x:c r="G89" s="150" t="e">
        <x:f>HYPERLINK("https://www.ebay.co.uk/sch/i.html?_nkw="&amp;SUBSTITUTE(F89," ","+")&amp;"&amp;LH_Auction=1&amp;_sop=1","Open eBay auction search")</x:f>
      </x:c>
      <x:c r="H89" s="148" t="str">
        <x:v>Targets prerelease/league promos.</x:v>
      </x:c>
      <x:c r="I89" s="148" t="str">
        <x:v>Confirm official stamp.</x:v>
      </x:c>
      <x:c r="J89" s="151" t="str">
        <x:v>Auction • Ending soonest • Raw-focused</x:v>
      </x:c>
    </x:row>
    <x:row r="90">
      <x:c r="A90" s="146" t="n">
        <x:v>83</x:v>
      </x:c>
      <x:c r="B90" s="147" t="n">
        <x:v>73</x:v>
      </x:c>
      <x:c r="C90" s="148" t="str">
        <x:v>Pokémon prerelease card</x:v>
      </x:c>
      <x:c r="D90" s="148" t="str">
        <x:v>Generic specialist</x:v>
      </x:c>
      <x:c r="E90" s="149" t="str">
        <x:v>NO</x:v>
      </x:c>
      <x:c r="F90" s="149" t="str">
        <x:f>"pokemon prerelease card -PSA -CGC -BGS -graded -slab -proxy -custom"</x:f>
        <x:v>pokemon prerelease card -PSA -CGC -BGS -graded -slab -proxy -custom</x:v>
      </x:c>
      <x:c r="G90" s="150" t="e">
        <x:f>HYPERLINK("https://www.ebay.co.uk/sch/i.html?_nkw="&amp;SUBSTITUTE(F90," ","+")&amp;"&amp;LH_Auction=1&amp;_sop=1","Open eBay auction search")</x:f>
      </x:c>
      <x:c r="H90" s="148" t="str">
        <x:v>Searches Build &amp; Battle promos.</x:v>
      </x:c>
      <x:c r="I90" s="148" t="str">
        <x:v>Competition varies.</x:v>
      </x:c>
      <x:c r="J90" s="151" t="str">
        <x:v>Auction • Ending soonest • Raw-focused</x:v>
      </x:c>
    </x:row>
    <x:row r="91">
      <x:c r="A91" s="146" t="n">
        <x:v>84</x:v>
      </x:c>
      <x:c r="B91" s="147" t="n">
        <x:v>73</x:v>
      </x:c>
      <x:c r="C91" s="148" t="str">
        <x:v>Pokémon league promo card</x:v>
      </x:c>
      <x:c r="D91" s="148" t="str">
        <x:v>Generic specialist</x:v>
      </x:c>
      <x:c r="E91" s="149" t="str">
        <x:v>NO</x:v>
      </x:c>
      <x:c r="F91" s="149" t="str">
        <x:f>"pokemon league promo card -PSA -CGC -BGS -graded -slab -proxy -custom"</x:f>
        <x:v>pokemon league promo card -PSA -CGC -BGS -graded -slab -proxy -custom</x:v>
      </x:c>
      <x:c r="G91" s="150" t="e">
        <x:f>HYPERLINK("https://www.ebay.co.uk/sch/i.html?_nkw="&amp;SUBSTITUTE(F91," ","+")&amp;"&amp;LH_Auction=1&amp;_sop=1","Open eBay auction search")</x:f>
      </x:c>
      <x:c r="H91" s="148" t="str">
        <x:v>Targets Play! Pokémon cards.</x:v>
      </x:c>
      <x:c r="I91" s="148" t="str">
        <x:v>Often low liquidity.</x:v>
      </x:c>
      <x:c r="J91" s="151" t="str">
        <x:v>Auction • Ending soonest • Raw-focused</x:v>
      </x:c>
    </x:row>
    <x:row r="92">
      <x:c r="A92" s="146" t="n">
        <x:v>85</x:v>
      </x:c>
      <x:c r="B92" s="147" t="n">
        <x:v>72</x:v>
      </x:c>
      <x:c r="C92" s="148" t="str">
        <x:v>Pokémon error card auction</x:v>
      </x:c>
      <x:c r="D92" s="148" t="str">
        <x:v>Generic specialist</x:v>
      </x:c>
      <x:c r="E92" s="149" t="str">
        <x:v>NO</x:v>
      </x:c>
      <x:c r="F92" s="149" t="str">
        <x:f>"pokemon error card -PSA -CGC -BGS -graded -slab -proxy -custom"</x:f>
        <x:v>pokemon error card -PSA -CGC -BGS -graded -slab -proxy -custom</x:v>
      </x:c>
      <x:c r="G92" s="150" t="e">
        <x:f>HYPERLINK("https://www.ebay.co.uk/sch/i.html?_nkw="&amp;SUBSTITUTE(F92," ","+")&amp;"&amp;LH_Auction=1&amp;_sop=1","Open eBay auction search")</x:f>
      </x:c>
      <x:c r="H92" s="148" t="str">
        <x:v>Potential misprints.</x:v>
      </x:c>
      <x:c r="I92" s="148" t="str">
        <x:v>Most listings overstate errors.</x:v>
      </x:c>
      <x:c r="J92" s="151" t="str">
        <x:v>Auction • Ending soonest • Raw-focused</x:v>
      </x:c>
    </x:row>
    <x:row r="93">
      <x:c r="A93" s="146" t="n">
        <x:v>86</x:v>
      </x:c>
      <x:c r="B93" s="147" t="n">
        <x:v>72</x:v>
      </x:c>
      <x:c r="C93" s="148" t="str">
        <x:v>Pokémon misprint card auction</x:v>
      </x:c>
      <x:c r="D93" s="148" t="str">
        <x:v>Generic specialist</x:v>
      </x:c>
      <x:c r="E93" s="149" t="str">
        <x:v>NO</x:v>
      </x:c>
      <x:c r="F93" s="149" t="str">
        <x:f>"pokemon misprint card -PSA -CGC -BGS -graded -slab -proxy -custom"</x:f>
        <x:v>pokemon misprint card -PSA -CGC -BGS -graded -slab -proxy -custom</x:v>
      </x:c>
      <x:c r="G93" s="150" t="e">
        <x:f>HYPERLINK("https://www.ebay.co.uk/sch/i.html?_nkw="&amp;SUBSTITUTE(F93," ","+")&amp;"&amp;LH_Auction=1&amp;_sop=1","Open eBay auction search")</x:f>
      </x:c>
      <x:c r="H93" s="148" t="str">
        <x:v>Specialist bargains possible.</x:v>
      </x:c>
      <x:c r="I93" s="148" t="str">
        <x:v>Authentication difficult.</x:v>
      </x:c>
      <x:c r="J93" s="151" t="str">
        <x:v>Auction • Ending soonest • Raw-focused</x:v>
      </x:c>
    </x:row>
    <x:row r="94">
      <x:c r="A94" s="146" t="n">
        <x:v>87</x:v>
      </x:c>
      <x:c r="B94" s="147" t="n">
        <x:v>72</x:v>
      </x:c>
      <x:c r="C94" s="148" t="str">
        <x:v>Pokémon swirl holo auction</x:v>
      </x:c>
      <x:c r="D94" s="148" t="str">
        <x:v>Generic specialist</x:v>
      </x:c>
      <x:c r="E94" s="149" t="str">
        <x:v>NO</x:v>
      </x:c>
      <x:c r="F94" s="149" t="str">
        <x:f>"pokemon swirl holo -PSA -CGC -BGS -graded -slab -proxy -custom"</x:f>
        <x:v>pokemon swirl holo -PSA -CGC -BGS -graded -slab -proxy -custom</x:v>
      </x:c>
      <x:c r="G94" s="150" t="e">
        <x:f>HYPERLINK("https://www.ebay.co.uk/sch/i.html?_nkw="&amp;SUBSTITUTE(F94," ","+")&amp;"&amp;LH_Auction=1&amp;_sop=1","Open eBay auction search")</x:f>
      </x:c>
      <x:c r="H94" s="148" t="str">
        <x:v>Targets swirl placement.</x:v>
      </x:c>
      <x:c r="I94" s="148" t="str">
        <x:v>Premium subjective.</x:v>
      </x:c>
      <x:c r="J94" s="151" t="str">
        <x:v>Auction • Ending soonest • Raw-focused</x:v>
      </x:c>
    </x:row>
    <x:row r="95">
      <x:c r="A95" s="146" t="n">
        <x:v>88</x:v>
      </x:c>
      <x:c r="B95" s="147" t="n">
        <x:v>71</x:v>
      </x:c>
      <x:c r="C95" s="148" t="str">
        <x:v>Pokémon cosmos holo auction</x:v>
      </x:c>
      <x:c r="D95" s="148" t="str">
        <x:v>Generic specialist</x:v>
      </x:c>
      <x:c r="E95" s="149" t="str">
        <x:v>NO</x:v>
      </x:c>
      <x:c r="F95" s="149" t="str">
        <x:f>"pokemon cosmos holo -PSA -CGC -BGS -graded -slab -proxy -custom"</x:f>
        <x:v>pokemon cosmos holo -PSA -CGC -BGS -graded -slab -proxy -custom</x:v>
      </x:c>
      <x:c r="G95" s="150" t="e">
        <x:f>HYPERLINK("https://www.ebay.co.uk/sch/i.html?_nkw="&amp;SUBSTITUTE(F95," ","+")&amp;"&amp;LH_Auction=1&amp;_sop=1","Open eBay auction search")</x:f>
      </x:c>
      <x:c r="H95" s="148" t="str">
        <x:v>Targets promo foil patterns.</x:v>
      </x:c>
      <x:c r="I95" s="148" t="str">
        <x:v>Variant confusion.</x:v>
      </x:c>
      <x:c r="J95" s="151" t="str">
        <x:v>Auction • Ending soonest • Raw-focused</x:v>
      </x:c>
    </x:row>
    <x:row r="96">
      <x:c r="A96" s="146" t="n">
        <x:v>89</x:v>
      </x:c>
      <x:c r="B96" s="147" t="n">
        <x:v>71</x:v>
      </x:c>
      <x:c r="C96" s="148" t="str">
        <x:v>Pokémon reverse holo old</x:v>
      </x:c>
      <x:c r="D96" s="148" t="str">
        <x:v>Generic vintage</x:v>
      </x:c>
      <x:c r="E96" s="149" t="str">
        <x:v>NO</x:v>
      </x:c>
      <x:c r="F96" s="149" t="str">
        <x:f>"pokemon reverse holo old -PSA -CGC -BGS -graded -slab -proxy -custom"</x:f>
        <x:v>pokemon reverse holo old -PSA -CGC -BGS -graded -slab -proxy -custom</x:v>
      </x:c>
      <x:c r="G96" s="150" t="e">
        <x:f>HYPERLINK("https://www.ebay.co.uk/sch/i.html?_nkw="&amp;SUBSTITUTE(F96," ","+")&amp;"&amp;LH_Auction=1&amp;_sop=1","Open eBay auction search")</x:f>
      </x:c>
      <x:c r="H96" s="148" t="str">
        <x:v>Targets older reverse holos.</x:v>
      </x:c>
      <x:c r="I96" s="148" t="str">
        <x:v>Condition sensitive.</x:v>
      </x:c>
      <x:c r="J96" s="151" t="str">
        <x:v>Auction • Ending soonest • Raw-focused</x:v>
      </x:c>
    </x:row>
    <x:row r="97">
      <x:c r="A97" s="146" t="n">
        <x:v>90</x:v>
      </x:c>
      <x:c r="B97" s="147" t="n">
        <x:v>71</x:v>
      </x:c>
      <x:c r="C97" s="148" t="str">
        <x:v>Pokémon e-reader card</x:v>
      </x:c>
      <x:c r="D97" s="148" t="str">
        <x:v>Generic vintage</x:v>
      </x:c>
      <x:c r="E97" s="149" t="str">
        <x:v>NO</x:v>
      </x:c>
      <x:c r="F97" s="149" t="str">
        <x:f>"pokemon e reader card -PSA -CGC -BGS -graded -slab -proxy -custom"</x:f>
        <x:v>pokemon e reader card -PSA -CGC -BGS -graded -slab -proxy -custom</x:v>
      </x:c>
      <x:c r="G97" s="150" t="e">
        <x:f>HYPERLINK("https://www.ebay.co.uk/sch/i.html?_nkw="&amp;SUBSTITUTE(F97," ","+")&amp;"&amp;LH_Auction=1&amp;_sop=1","Open eBay auction search")</x:f>
      </x:c>
      <x:c r="H97" s="148" t="str">
        <x:v>Targets Expedition/Aquapolis/Skyridge.</x:v>
      </x:c>
      <x:c r="I97" s="148" t="str">
        <x:v>Low supply, high competition.</x:v>
      </x:c>
      <x:c r="J97" s="151" t="str">
        <x:v>Auction • Ending soonest • Raw-focused</x:v>
      </x:c>
    </x:row>
    <x:row r="98">
      <x:c r="A98" s="146" t="n">
        <x:v>91</x:v>
      </x:c>
      <x:c r="B98" s="147" t="n">
        <x:v>70</x:v>
      </x:c>
      <x:c r="C98" s="148" t="str">
        <x:v>Pokémon Skyridge common</x:v>
      </x:c>
      <x:c r="D98" s="148" t="str">
        <x:v>Set niche</x:v>
      </x:c>
      <x:c r="E98" s="149" t="str">
        <x:v>NO</x:v>
      </x:c>
      <x:c r="F98" s="149" t="str">
        <x:f>"pokemon skyridge common -PSA -CGC -BGS -graded -slab -proxy -custom"</x:f>
        <x:v>pokemon skyridge common -PSA -CGC -BGS -graded -slab -proxy -custom</x:v>
      </x:c>
      <x:c r="G98" s="150" t="e">
        <x:f>HYPERLINK("https://www.ebay.co.uk/sch/i.html?_nkw="&amp;SUBSTITUTE(F98," ","+")&amp;"&amp;LH_Auction=1&amp;_sop=1","Open eBay auction search")</x:f>
      </x:c>
      <x:c r="H98" s="148" t="str">
        <x:v>Set completion demand can support commons.</x:v>
      </x:c>
      <x:c r="I98" s="148" t="str">
        <x:v>Condition critical.</x:v>
      </x:c>
      <x:c r="J98" s="151" t="str">
        <x:v>Auction • Ending soonest • Raw-focused</x:v>
      </x:c>
    </x:row>
    <x:row r="99">
      <x:c r="A99" s="146" t="n">
        <x:v>92</x:v>
      </x:c>
      <x:c r="B99" s="147" t="n">
        <x:v>70</x:v>
      </x:c>
      <x:c r="C99" s="148" t="str">
        <x:v>Pokémon Aquapolis common</x:v>
      </x:c>
      <x:c r="D99" s="148" t="str">
        <x:v>Set niche</x:v>
      </x:c>
      <x:c r="E99" s="149" t="str">
        <x:v>NO</x:v>
      </x:c>
      <x:c r="F99" s="149" t="str">
        <x:f>"pokemon aquapolis common -PSA -CGC -BGS -graded -slab -proxy -custom"</x:f>
        <x:v>pokemon aquapolis common -PSA -CGC -BGS -graded -slab -proxy -custom</x:v>
      </x:c>
      <x:c r="G99" s="150" t="e">
        <x:f>HYPERLINK("https://www.ebay.co.uk/sch/i.html?_nkw="&amp;SUBSTITUTE(F99," ","+")&amp;"&amp;LH_Auction=1&amp;_sop=1","Open eBay auction search")</x:f>
      </x:c>
      <x:c r="H99" s="148" t="str">
        <x:v>Potential overlooked e-Reader fillers.</x:v>
      </x:c>
      <x:c r="I99" s="148" t="str">
        <x:v>Very low sales volume.</x:v>
      </x:c>
      <x:c r="J99" s="151" t="str">
        <x:v>Auction • Ending soonest • Raw-focused</x:v>
      </x:c>
    </x:row>
    <x:row r="100">
      <x:c r="A100" s="146" t="n">
        <x:v>93</x:v>
      </x:c>
      <x:c r="B100" s="147" t="n">
        <x:v>70</x:v>
      </x:c>
      <x:c r="C100" s="148" t="str">
        <x:v>Pokémon Expedition common</x:v>
      </x:c>
      <x:c r="D100" s="148" t="str">
        <x:v>Set niche</x:v>
      </x:c>
      <x:c r="E100" s="149" t="str">
        <x:v>NO</x:v>
      </x:c>
      <x:c r="F100" s="149" t="str">
        <x:f>"pokemon expedition common -PSA -CGC -BGS -graded -slab -proxy -custom"</x:f>
        <x:v>pokemon expedition common -PSA -CGC -BGS -graded -slab -proxy -custom</x:v>
      </x:c>
      <x:c r="G100" s="150" t="e">
        <x:f>HYPERLINK("https://www.ebay.co.uk/sch/i.html?_nkw="&amp;SUBSTITUTE(F100," ","+")&amp;"&amp;LH_Auction=1&amp;_sop=1","Open eBay auction search")</x:f>
      </x:c>
      <x:c r="H100" s="148" t="str">
        <x:v>Affordable e-Reader exposure.</x:v>
      </x:c>
      <x:c r="I100" s="148" t="str">
        <x:v>Broad condition range.</x:v>
      </x:c>
      <x:c r="J100" s="151" t="str">
        <x:v>Auction • Ending soonest • Raw-focused</x:v>
      </x:c>
    </x:row>
    <x:row r="101">
      <x:c r="A101" s="146" t="n">
        <x:v>94</x:v>
      </x:c>
      <x:c r="B101" s="147" t="n">
        <x:v>69</x:v>
      </x:c>
      <x:c r="C101" s="148" t="str">
        <x:v>Pokémon Neo common 1st edition</x:v>
      </x:c>
      <x:c r="D101" s="148" t="str">
        <x:v>Set niche</x:v>
      </x:c>
      <x:c r="E101" s="149" t="str">
        <x:v>NO</x:v>
      </x:c>
      <x:c r="F101" s="149" t="str">
        <x:f>"pokemon neo common 1st edition -PSA -CGC -BGS -graded -slab -proxy -custom"</x:f>
        <x:v>pokemon neo common 1st edition -PSA -CGC -BGS -graded -slab -proxy -custom</x:v>
      </x:c>
      <x:c r="G101" s="150" t="e">
        <x:f>HYPERLINK("https://www.ebay.co.uk/sch/i.html?_nkw="&amp;SUBSTITUTE(F101," ","+")&amp;"&amp;LH_Auction=1&amp;_sop=1","Open eBay auction search")</x:f>
      </x:c>
      <x:c r="H101" s="148" t="str">
        <x:v>Targets affordable first-edition vintage.</x:v>
      </x:c>
      <x:c r="I101" s="148" t="str">
        <x:v>Check stamp.</x:v>
      </x:c>
      <x:c r="J101" s="151" t="str">
        <x:v>Auction • Ending soonest • Raw-focused</x:v>
      </x:c>
    </x:row>
    <x:row r="102">
      <x:c r="A102" s="146" t="n">
        <x:v>95</x:v>
      </x:c>
      <x:c r="B102" s="147" t="n">
        <x:v>69</x:v>
      </x:c>
      <x:c r="C102" s="148" t="str">
        <x:v>Team Rocket Pokémon common 1st edition</x:v>
      </x:c>
      <x:c r="D102" s="148" t="str">
        <x:v>Set niche</x:v>
      </x:c>
      <x:c r="E102" s="149" t="str">
        <x:v>NO</x:v>
      </x:c>
      <x:c r="F102" s="149" t="str">
        <x:f>"team rocket pokemon common 1st edition -PSA -CGC -BGS -graded -slab -proxy -custom"</x:f>
        <x:v>team rocket pokemon common 1st edition -PSA -CGC -BGS -graded -slab -proxy -custom</x:v>
      </x:c>
      <x:c r="G102" s="150" t="e">
        <x:f>HYPERLINK("https://www.ebay.co.uk/sch/i.html?_nkw="&amp;SUBSTITUTE(F102," ","+")&amp;"&amp;LH_Auction=1&amp;_sop=1","Open eBay auction search")</x:f>
      </x:c>
      <x:c r="H102" s="148" t="str">
        <x:v>Popular set and accessible cards.</x:v>
      </x:c>
      <x:c r="I102" s="148" t="str">
        <x:v>High edition confusion.</x:v>
      </x:c>
      <x:c r="J102" s="151" t="str">
        <x:v>Auction • Ending soonest • Raw-focused</x:v>
      </x:c>
    </x:row>
    <x:row r="103">
      <x:c r="A103" s="146" t="n">
        <x:v>96</x:v>
      </x:c>
      <x:c r="B103" s="147" t="n">
        <x:v>69</x:v>
      </x:c>
      <x:c r="C103" s="148" t="str">
        <x:v>Jungle Pokémon common 1st edition</x:v>
      </x:c>
      <x:c r="D103" s="148" t="str">
        <x:v>Set niche</x:v>
      </x:c>
      <x:c r="E103" s="149" t="str">
        <x:v>NO</x:v>
      </x:c>
      <x:c r="F103" s="149" t="str">
        <x:f>"jungle pokemon common 1st edition -PSA -CGC -BGS -graded -slab -proxy -custom"</x:f>
        <x:v>jungle pokemon common 1st edition -PSA -CGC -BGS -graded -slab -proxy -custom</x:v>
      </x:c>
      <x:c r="G103" s="150" t="e">
        <x:f>HYPERLINK("https://www.ebay.co.uk/sch/i.html?_nkw="&amp;SUBSTITUTE(F103," ","+")&amp;"&amp;LH_Auction=1&amp;_sop=1","Open eBay auction search")</x:f>
      </x:c>
      <x:c r="H103" s="148" t="str">
        <x:v>Affordable WOTC first editions.</x:v>
      </x:c>
      <x:c r="I103" s="148" t="str">
        <x:v>Condition may be played.</x:v>
      </x:c>
      <x:c r="J103" s="151" t="str">
        <x:v>Auction • Ending soonest • Raw-focused</x:v>
      </x:c>
    </x:row>
    <x:row r="104">
      <x:c r="A104" s="146" t="n">
        <x:v>97</x:v>
      </x:c>
      <x:c r="B104" s="147" t="n">
        <x:v>68</x:v>
      </x:c>
      <x:c r="C104" s="148" t="str">
        <x:v>Fossil Pokémon common 1st edition</x:v>
      </x:c>
      <x:c r="D104" s="148" t="str">
        <x:v>Set niche</x:v>
      </x:c>
      <x:c r="E104" s="149" t="str">
        <x:v>NO</x:v>
      </x:c>
      <x:c r="F104" s="149" t="str">
        <x:f>"fossil pokemon common 1st edition -PSA -CGC -BGS -graded -slab -proxy -custom"</x:f>
        <x:v>fossil pokemon common 1st edition -PSA -CGC -BGS -graded -slab -proxy -custom</x:v>
      </x:c>
      <x:c r="G104" s="150" t="e">
        <x:f>HYPERLINK("https://www.ebay.co.uk/sch/i.html?_nkw="&amp;SUBSTITUTE(F104," ","+")&amp;"&amp;LH_Auction=1&amp;_sop=1","Open eBay auction search")</x:f>
      </x:c>
      <x:c r="H104" s="148" t="str">
        <x:v>Accessible early set cards.</x:v>
      </x:c>
      <x:c r="I104" s="148" t="str">
        <x:v>Lower character demand.</x:v>
      </x:c>
      <x:c r="J104" s="151" t="str">
        <x:v>Auction • Ending soonest • Raw-focused</x:v>
      </x:c>
    </x:row>
    <x:row r="105">
      <x:c r="A105" s="146" t="n">
        <x:v>98</x:v>
      </x:c>
      <x:c r="B105" s="147" t="n">
        <x:v>68</x:v>
      </x:c>
      <x:c r="C105" s="148" t="str">
        <x:v>Gym Heroes Pokémon common</x:v>
      </x:c>
      <x:c r="D105" s="148" t="str">
        <x:v>Set niche</x:v>
      </x:c>
      <x:c r="E105" s="149" t="str">
        <x:v>NO</x:v>
      </x:c>
      <x:c r="F105" s="149" t="str">
        <x:f>"gym heroes pokemon common -PSA -CGC -BGS -graded -slab -proxy -custom"</x:f>
        <x:v>gym heroes pokemon common -PSA -CGC -BGS -graded -slab -proxy -custom</x:v>
      </x:c>
      <x:c r="G105" s="150" t="e">
        <x:f>HYPERLINK("https://www.ebay.co.uk/sch/i.html?_nkw="&amp;SUBSTITUTE(F105," ","+")&amp;"&amp;LH_Auction=1&amp;_sop=1","Open eBay auction search")</x:f>
      </x:c>
      <x:c r="H105" s="148" t="str">
        <x:v>Strong nostalgia and character themes.</x:v>
      </x:c>
      <x:c r="I105" s="148" t="str">
        <x:v>Low-value singles need combined postage.</x:v>
      </x:c>
      <x:c r="J105" s="151" t="str">
        <x:v>Auction • Ending soonest • Raw-focused</x:v>
      </x:c>
    </x:row>
    <x:row r="106">
      <x:c r="A106" s="146" t="n">
        <x:v>99</x:v>
      </x:c>
      <x:c r="B106" s="147" t="n">
        <x:v>68</x:v>
      </x:c>
      <x:c r="C106" s="148" t="str">
        <x:v>Gym Challenge Pokémon common</x:v>
      </x:c>
      <x:c r="D106" s="148" t="str">
        <x:v>Set niche</x:v>
      </x:c>
      <x:c r="E106" s="149" t="str">
        <x:v>NO</x:v>
      </x:c>
      <x:c r="F106" s="149" t="str">
        <x:f>"gym challenge pokemon common -PSA -CGC -BGS -graded -slab -proxy -custom"</x:f>
        <x:v>gym challenge pokemon common -PSA -CGC -BGS -graded -slab -proxy -custom</x:v>
      </x:c>
      <x:c r="G106" s="150" t="e">
        <x:f>HYPERLINK("https://www.ebay.co.uk/sch/i.html?_nkw="&amp;SUBSTITUTE(F106," ","+")&amp;"&amp;LH_Auction=1&amp;_sop=1","Open eBay auction search")</x:f>
      </x:c>
      <x:c r="H106" s="148" t="str">
        <x:v>Popular set completion cards.</x:v>
      </x:c>
      <x:c r="I106" s="148" t="str">
        <x:v>Condition risk.</x:v>
      </x:c>
      <x:c r="J106" s="151" t="str">
        <x:v>Auction • Ending soonest • Raw-focused</x:v>
      </x:c>
    </x:row>
    <x:row r="107">
      <x:c r="A107" s="146" t="n">
        <x:v>100</x:v>
      </x:c>
      <x:c r="B107" s="147" t="n">
        <x:v>67</x:v>
      </x:c>
      <x:c r="C107" s="148" t="str">
        <x:v>EX era Pokémon holo</x:v>
      </x:c>
      <x:c r="D107" s="148" t="str">
        <x:v>Older era</x:v>
      </x:c>
      <x:c r="E107" s="149" t="str">
        <x:v>NO</x:v>
      </x:c>
      <x:c r="F107" s="149" t="str">
        <x:f>"EX era pokemon holo -PSA -CGC -BGS -graded -slab -proxy -custom"</x:f>
        <x:v>EX era pokemon holo -PSA -CGC -BGS -graded -slab -proxy -custom</x:v>
      </x:c>
      <x:c r="G107" s="150" t="e">
        <x:f>HYPERLINK("https://www.ebay.co.uk/sch/i.html?_nkw="&amp;SUBSTITUTE(F107," ","+")&amp;"&amp;LH_Auction=1&amp;_sop=1","Open eBay auction search")</x:f>
      </x:c>
      <x:c r="H107" s="148" t="str">
        <x:v>Targets 2003–2007 holos.</x:v>
      </x:c>
      <x:c r="I107" s="148" t="str">
        <x:v>May include modern ex cards.</x:v>
      </x:c>
      <x:c r="J107" s="151" t="str">
        <x:v>Auction • Ending soonest • Raw-focused</x:v>
      </x:c>
    </x:row>
    <x:row r="108">
      <x:c r="A108" s="146" t="n">
        <x:v>101</x:v>
      </x:c>
      <x:c r="B108" s="147" t="n">
        <x:v>67</x:v>
      </x:c>
      <x:c r="C108" s="148" t="str">
        <x:v>Delta Species Pokémon card</x:v>
      </x:c>
      <x:c r="D108" s="148" t="str">
        <x:v>Older era</x:v>
      </x:c>
      <x:c r="E108" s="149" t="str">
        <x:v>NO</x:v>
      </x:c>
      <x:c r="F108" s="149" t="str">
        <x:f>"delta species pokemon card -PSA -CGC -BGS -graded -slab -proxy -custom"</x:f>
        <x:v>delta species pokemon card -PSA -CGC -BGS -graded -slab -proxy -custom</x:v>
      </x:c>
      <x:c r="G108" s="150" t="e">
        <x:f>HYPERLINK("https://www.ebay.co.uk/sch/i.html?_nkw="&amp;SUBSTITUTE(F108," ","+")&amp;"&amp;LH_Auction=1&amp;_sop=1","Open eBay auction search")</x:f>
      </x:c>
      <x:c r="H108" s="148" t="str">
        <x:v>Strong niche collector demand.</x:v>
      </x:c>
      <x:c r="I108" s="148" t="str">
        <x:v>Counterfeit and condition risk.</x:v>
      </x:c>
      <x:c r="J108" s="151" t="str">
        <x:v>Auction • Ending soonest • Raw-focused</x:v>
      </x:c>
    </x:row>
    <x:row r="109">
      <x:c r="A109" s="146" t="n">
        <x:v>102</x:v>
      </x:c>
      <x:c r="B109" s="147" t="n">
        <x:v>67</x:v>
      </x:c>
      <x:c r="C109" s="148" t="str">
        <x:v>Legendary Collection reverse holo</x:v>
      </x:c>
      <x:c r="D109" s="148" t="str">
        <x:v>Older era</x:v>
      </x:c>
      <x:c r="E109" s="149" t="str">
        <x:v>NO</x:v>
      </x:c>
      <x:c r="F109" s="149" t="str">
        <x:f>"legendary collection reverse holo pokemon -PSA -CGC -BGS -graded -slab -proxy -custom"</x:f>
        <x:v>legendary collection reverse holo pokemon -PSA -CGC -BGS -graded -slab -proxy -custom</x:v>
      </x:c>
      <x:c r="G109" s="150" t="e">
        <x:f>HYPERLINK("https://www.ebay.co.uk/sch/i.html?_nkw="&amp;SUBSTITUTE(F109," ","+")&amp;"&amp;LH_Auction=1&amp;_sop=1","Open eBay auction search")</x:f>
      </x:c>
      <x:c r="H109" s="148" t="str">
        <x:v>High-demand fireworks reverse holos.</x:v>
      </x:c>
      <x:c r="I109" s="148" t="str">
        <x:v>Expensive and counterfeit-prone.</x:v>
      </x:c>
      <x:c r="J109" s="151" t="str">
        <x:v>Auction • Ending soonest • Raw-focused</x:v>
      </x:c>
    </x:row>
    <x:row r="110">
      <x:c r="A110" s="146" t="n">
        <x:v>103</x:v>
      </x:c>
      <x:c r="B110" s="147" t="n">
        <x:v>66</x:v>
      </x:c>
      <x:c r="C110" s="148" t="str">
        <x:v>Radiant Collection Pokémon card</x:v>
      </x:c>
      <x:c r="D110" s="148" t="str">
        <x:v>Artwork subset</x:v>
      </x:c>
      <x:c r="E110" s="149" t="str">
        <x:v>NO</x:v>
      </x:c>
      <x:c r="F110" s="149" t="str">
        <x:f>"radiant collection pokemon card -PSA -CGC -BGS -graded -slab -proxy -custom"</x:f>
        <x:v>radiant collection pokemon card -PSA -CGC -BGS -graded -slab -proxy -custom</x:v>
      </x:c>
      <x:c r="G110" s="150" t="e">
        <x:f>HYPERLINK("https://www.ebay.co.uk/sch/i.html?_nkw="&amp;SUBSTITUTE(F110," ","+")&amp;"&amp;LH_Auction=1&amp;_sop=1","Open eBay auction search")</x:f>
      </x:c>
      <x:c r="H110" s="148" t="str">
        <x:v>Popular artwork subset.</x:v>
      </x:c>
      <x:c r="I110" s="148" t="str">
        <x:v>Card number still needed before bidding.</x:v>
      </x:c>
      <x:c r="J110" s="151" t="str">
        <x:v>Auction • Ending soonest • Raw-focused</x:v>
      </x:c>
    </x:row>
    <x:row r="111">
      <x:c r="A111" s="146" t="n">
        <x:v>104</x:v>
      </x:c>
      <x:c r="B111" s="147" t="n">
        <x:v>66</x:v>
      </x:c>
      <x:c r="C111" s="148" t="str">
        <x:v>Trainer Gallery Pokémon auction</x:v>
      </x:c>
      <x:c r="D111" s="148" t="str">
        <x:v>Artwork subset</x:v>
      </x:c>
      <x:c r="E111" s="149" t="str">
        <x:v>NO</x:v>
      </x:c>
      <x:c r="F111" s="149" t="str">
        <x:f>"trainer gallery pokemon card -PSA -CGC -BGS -graded -slab -proxy -custom"</x:f>
        <x:v>trainer gallery pokemon card -PSA -CGC -BGS -graded -slab -proxy -custom</x:v>
      </x:c>
      <x:c r="G111" s="150" t="e">
        <x:f>HYPERLINK("https://www.ebay.co.uk/sch/i.html?_nkw="&amp;SUBSTITUTE(F111," ","+")&amp;"&amp;LH_Auction=1&amp;_sop=1","Open eBay auction search")</x:f>
      </x:c>
      <x:c r="H111" s="148" t="str">
        <x:v>Modern art cards with broad demand.</x:v>
      </x:c>
      <x:c r="I111" s="148" t="str">
        <x:v>Supply can be high.</x:v>
      </x:c>
      <x:c r="J111" s="151" t="str">
        <x:v>Auction • Ending soonest • Raw-focused</x:v>
      </x:c>
    </x:row>
    <x:row r="112">
      <x:c r="A112" s="146" t="n">
        <x:v>105</x:v>
      </x:c>
      <x:c r="B112" s="147" t="n">
        <x:v>66</x:v>
      </x:c>
      <x:c r="C112" s="148" t="str">
        <x:v>Illustration Rare Pokémon auction</x:v>
      </x:c>
      <x:c r="D112" s="148" t="str">
        <x:v>Artwork subset</x:v>
      </x:c>
      <x:c r="E112" s="149" t="str">
        <x:v>NO</x:v>
      </x:c>
      <x:c r="F112" s="149" t="str">
        <x:f>"illustration rare pokemon card -PSA -CGC -BGS -graded -slab -proxy -custom"</x:f>
        <x:v>illustration rare pokemon card -PSA -CGC -BGS -graded -slab -proxy -custom</x:v>
      </x:c>
      <x:c r="G112" s="150" t="e">
        <x:f>HYPERLINK("https://www.ebay.co.uk/sch/i.html?_nkw="&amp;SUBSTITUTE(F112," ","+")&amp;"&amp;LH_Auction=1&amp;_sop=1","Open eBay auction search")</x:f>
      </x:c>
      <x:c r="H112" s="148" t="str">
        <x:v>Modern collector cards.</x:v>
      </x:c>
      <x:c r="I112" s="148" t="str">
        <x:v>Strong competition.</x:v>
      </x:c>
      <x:c r="J112" s="151" t="str">
        <x:v>Auction • Ending soonest • Raw-focused</x:v>
      </x:c>
    </x:row>
    <x:row r="113">
      <x:c r="A113" s="146" t="n">
        <x:v>106</x:v>
      </x:c>
      <x:c r="B113" s="147" t="n">
        <x:v>65</x:v>
      </x:c>
      <x:c r="C113" s="148" t="str">
        <x:v>Special Illustration Rare auction</x:v>
      </x:c>
      <x:c r="D113" s="148" t="str">
        <x:v>Artwork subset</x:v>
      </x:c>
      <x:c r="E113" s="149" t="str">
        <x:v>NO</x:v>
      </x:c>
      <x:c r="F113" s="149" t="str">
        <x:f>"special illustration rare pokemon -PSA -CGC -BGS -graded -slab -proxy -custom"</x:f>
        <x:v>special illustration rare pokemon -PSA -CGC -BGS -graded -slab -proxy -custom</x:v>
      </x:c>
      <x:c r="G113" s="150" t="e">
        <x:f>HYPERLINK("https://www.ebay.co.uk/sch/i.html?_nkw="&amp;SUBSTITUTE(F113," ","+")&amp;"&amp;LH_Auction=1&amp;_sop=1","Open eBay auction search")</x:f>
      </x:c>
      <x:c r="H113" s="148" t="str">
        <x:v>Premium modern cards.</x:v>
      </x:c>
      <x:c r="I113" s="148" t="str">
        <x:v>High volatility.</x:v>
      </x:c>
      <x:c r="J113" s="151" t="str">
        <x:v>Auction • Ending soonest • Raw-focused</x:v>
      </x:c>
    </x:row>
    <x:row r="114">
      <x:c r="A114" s="146" t="n">
        <x:v>107</x:v>
      </x:c>
      <x:c r="B114" s="147" t="n">
        <x:v>65</x:v>
      </x:c>
      <x:c r="C114" s="148" t="str">
        <x:v>Black Star Promo Pokémon auction</x:v>
      </x:c>
      <x:c r="D114" s="148" t="str">
        <x:v>Promo</x:v>
      </x:c>
      <x:c r="E114" s="149" t="str">
        <x:v>NO</x:v>
      </x:c>
      <x:c r="F114" s="149" t="str">
        <x:f>"black star promo pokemon card -PSA -CGC -BGS -graded -slab -proxy -custom"</x:f>
        <x:v>black star promo pokemon card -PSA -CGC -BGS -graded -slab -proxy -custom</x:v>
      </x:c>
      <x:c r="G114" s="150" t="e">
        <x:f>HYPERLINK("https://www.ebay.co.uk/sch/i.html?_nkw="&amp;SUBSTITUTE(F114," ","+")&amp;"&amp;LH_Auction=1&amp;_sop=1","Open eBay auction search")</x:f>
      </x:c>
      <x:c r="H114" s="148" t="str">
        <x:v>Promos often poorly catalogued.</x:v>
      </x:c>
      <x:c r="I114" s="148" t="str">
        <x:v>Check promo code.</x:v>
      </x:c>
      <x:c r="J114" s="151" t="str">
        <x:v>Auction • Ending soonest • Raw-focused</x:v>
      </x:c>
    </x:row>
    <x:row r="115">
      <x:c r="A115" s="146" t="n">
        <x:v>108</x:v>
      </x:c>
      <x:c r="B115" s="147" t="n">
        <x:v>65</x:v>
      </x:c>
      <x:c r="C115" s="148" t="str">
        <x:v>Pokémon Center stamped card</x:v>
      </x:c>
      <x:c r="D115" s="148" t="str">
        <x:v>Promo</x:v>
      </x:c>
      <x:c r="E115" s="149" t="str">
        <x:v>NO</x:v>
      </x:c>
      <x:c r="F115" s="149" t="str">
        <x:f>"pokemon center stamped card -PSA -CGC -BGS -graded -slab -proxy -custom"</x:f>
        <x:v>pokemon center stamped card -PSA -CGC -BGS -graded -slab -proxy -custom</x:v>
      </x:c>
      <x:c r="G115" s="150" t="e">
        <x:f>HYPERLINK("https://www.ebay.co.uk/sch/i.html?_nkw="&amp;SUBSTITUTE(F115," ","+")&amp;"&amp;LH_Auction=1&amp;_sop=1","Open eBay auction search")</x:f>
      </x:c>
      <x:c r="H115" s="148" t="str">
        <x:v>Targets scarce stamped promos.</x:v>
      </x:c>
      <x:c r="I115" s="148" t="str">
        <x:v>Beware normal promo confusion.</x:v>
      </x:c>
      <x:c r="J115" s="151" t="str">
        <x:v>Auction • Ending soonest • Raw-focused</x:v>
      </x:c>
    </x:row>
    <x:row r="116">
      <x:c r="A116" s="146" t="n">
        <x:v>109</x:v>
      </x:c>
      <x:c r="B116" s="147" t="n">
        <x:v>64</x:v>
      </x:c>
      <x:c r="C116" s="148" t="str">
        <x:v>Play Pokémon stamped card</x:v>
      </x:c>
      <x:c r="D116" s="148" t="str">
        <x:v>Promo</x:v>
      </x:c>
      <x:c r="E116" s="149" t="str">
        <x:v>NO</x:v>
      </x:c>
      <x:c r="F116" s="149" t="str">
        <x:f>"play pokemon stamped card -PSA -CGC -BGS -graded -slab -proxy -custom"</x:f>
        <x:v>play pokemon stamped card -PSA -CGC -BGS -graded -slab -proxy -custom</x:v>
      </x:c>
      <x:c r="G116" s="150" t="e">
        <x:f>HYPERLINK("https://www.ebay.co.uk/sch/i.html?_nkw="&amp;SUBSTITUTE(F116," ","+")&amp;"&amp;LH_Auction=1&amp;_sop=1","Open eBay auction search")</x:f>
      </x:c>
      <x:c r="H116" s="148" t="str">
        <x:v>Targets organised-play promos.</x:v>
      </x:c>
      <x:c r="I116" s="148" t="str">
        <x:v>Low liquidity.</x:v>
      </x:c>
      <x:c r="J116" s="151" t="str">
        <x:v>Auction • Ending soonest • Raw-focused</x:v>
      </x:c>
    </x:row>
    <x:row r="117">
      <x:c r="A117" s="146" t="n">
        <x:v>110</x:v>
      </x:c>
      <x:c r="B117" s="147" t="n">
        <x:v>64</x:v>
      </x:c>
      <x:c r="C117" s="148" t="str">
        <x:v>Prize Pack Pokémon card</x:v>
      </x:c>
      <x:c r="D117" s="148" t="str">
        <x:v>Promo</x:v>
      </x:c>
      <x:c r="E117" s="149" t="str">
        <x:v>NO</x:v>
      </x:c>
      <x:c r="F117" s="149" t="str">
        <x:f>"pokemon prize pack card -PSA -CGC -BGS -graded -slab -proxy -custom"</x:f>
        <x:v>pokemon prize pack card -PSA -CGC -BGS -graded -slab -proxy -custom</x:v>
      </x:c>
      <x:c r="G117" s="150" t="e">
        <x:f>HYPERLINK("https://www.ebay.co.uk/sch/i.html?_nkw="&amp;SUBSTITUTE(F117," ","+")&amp;"&amp;LH_Auction=1&amp;_sop=1","Open eBay auction search")</x:f>
      </x:c>
      <x:c r="H117" s="148" t="str">
        <x:v>Targets Play! Prize Pack variants.</x:v>
      </x:c>
      <x:c r="I117" s="148" t="str">
        <x:v>Series and foil matter.</x:v>
      </x:c>
      <x:c r="J117" s="151" t="str">
        <x:v>Auction • Ending soonest • Raw-focused</x:v>
      </x:c>
    </x:row>
    <x:row r="118">
      <x:c r="A118" s="146" t="n">
        <x:v>111</x:v>
      </x:c>
      <x:c r="B118" s="147" t="n">
        <x:v>64</x:v>
      </x:c>
      <x:c r="C118" s="148" t="str">
        <x:v>Pokémon card bundle vintage</x:v>
      </x:c>
      <x:c r="D118" s="148" t="str">
        <x:v>Mixed lot</x:v>
      </x:c>
      <x:c r="E118" s="149" t="str">
        <x:v>NO</x:v>
      </x:c>
      <x:c r="F118" s="149" t="str">
        <x:f>"pokemon card bundle vintage -PSA -CGC -BGS -graded -slab -proxy -custom"</x:f>
        <x:v>pokemon card bundle vintage -PSA -CGC -BGS -graded -slab -proxy -custom</x:v>
      </x:c>
      <x:c r="G118" s="150" t="e">
        <x:f>HYPERLINK("https://www.ebay.co.uk/sch/i.html?_nkw="&amp;SUBSTITUTE(F118," ","+")&amp;"&amp;LH_Auction=1&amp;_sop=1","Open eBay auction search")</x:f>
      </x:c>
      <x:c r="H118" s="148" t="str">
        <x:v>Potential mispriced mixed lots.</x:v>
      </x:c>
      <x:c r="I118" s="148" t="str">
        <x:v>Value only visible cards.</x:v>
      </x:c>
      <x:c r="J118" s="151" t="str">
        <x:v>Auction • Ending soonest • Raw-focused</x:v>
      </x:c>
    </x:row>
    <x:row r="119">
      <x:c r="A119" s="146" t="n">
        <x:v>112</x:v>
      </x:c>
      <x:c r="B119" s="147" t="n">
        <x:v>63</x:v>
      </x:c>
      <x:c r="C119" s="148" t="str">
        <x:v>Old Pokémon collection auction</x:v>
      </x:c>
      <x:c r="D119" s="148" t="str">
        <x:v>Mixed lot</x:v>
      </x:c>
      <x:c r="E119" s="149" t="str">
        <x:v>NO</x:v>
      </x:c>
      <x:c r="F119" s="149" t="str">
        <x:f>"old pokemon collection -PSA -CGC -BGS -graded -slab -proxy -custom"</x:f>
        <x:v>old pokemon collection -PSA -CGC -BGS -graded -slab -proxy -custom</x:v>
      </x:c>
      <x:c r="G119" s="150" t="e">
        <x:f>HYPERLINK("https://www.ebay.co.uk/sch/i.html?_nkw="&amp;SUBSTITUTE(F119," ","+")&amp;"&amp;LH_Auction=1&amp;_sop=1","Open eBay auction search")</x:f>
      </x:c>
      <x:c r="H119" s="148" t="str">
        <x:v>Non-specialist clear-outs.</x:v>
      </x:c>
      <x:c r="I119" s="148" t="str">
        <x:v>Condition and authenticity risk.</x:v>
      </x:c>
      <x:c r="J119" s="151" t="str">
        <x:v>Auction • Ending soonest • Raw-focused</x:v>
      </x:c>
    </x:row>
    <x:row r="120">
      <x:c r="A120" s="146" t="n">
        <x:v>113</x:v>
      </x:c>
      <x:c r="B120" s="147" t="n">
        <x:v>63</x:v>
      </x:c>
      <x:c r="C120" s="148" t="str">
        <x:v>Pokémon cards childhood collection</x:v>
      </x:c>
      <x:c r="D120" s="148" t="str">
        <x:v>Mixed lot</x:v>
      </x:c>
      <x:c r="E120" s="149" t="str">
        <x:v>NO</x:v>
      </x:c>
      <x:c r="F120" s="149" t="str">
        <x:f>"pokemon cards childhood collection -PSA -CGC -BGS -graded -slab -proxy -custom"</x:f>
        <x:v>pokemon cards childhood collection -PSA -CGC -BGS -graded -slab -proxy -custom</x:v>
      </x:c>
      <x:c r="G120" s="150" t="e">
        <x:f>HYPERLINK("https://www.ebay.co.uk/sch/i.html?_nkw="&amp;SUBSTITUTE(F120," ","+")&amp;"&amp;LH_Auction=1&amp;_sop=1","Open eBay auction search")</x:f>
      </x:c>
      <x:c r="H120" s="148" t="str">
        <x:v>Potential overlooked collections.</x:v>
      </x:c>
      <x:c r="I120" s="148" t="str">
        <x:v>Often heavily played.</x:v>
      </x:c>
      <x:c r="J120" s="151" t="str">
        <x:v>Auction • Ending soonest • Raw-focused</x:v>
      </x:c>
    </x:row>
    <x:row r="121">
      <x:c r="A121" s="146" t="n">
        <x:v>114</x:v>
      </x:c>
      <x:c r="B121" s="147" t="n">
        <x:v>63</x:v>
      </x:c>
      <x:c r="C121" s="148" t="str">
        <x:v>Pokémon cards from loft</x:v>
      </x:c>
      <x:c r="D121" s="148" t="str">
        <x:v>Mixed lot</x:v>
      </x:c>
      <x:c r="E121" s="149" t="str">
        <x:v>NO</x:v>
      </x:c>
      <x:c r="F121" s="149" t="str">
        <x:f>"pokemon cards loft -PSA -CGC -BGS -graded -slab -proxy -custom"</x:f>
        <x:v>pokemon cards loft -PSA -CGC -BGS -graded -slab -proxy -custom</x:v>
      </x:c>
      <x:c r="G121" s="150" t="e">
        <x:f>HYPERLINK("https://www.ebay.co.uk/sch/i.html?_nkw="&amp;SUBSTITUTE(F121," ","+")&amp;"&amp;LH_Auction=1&amp;_sop=1","Open eBay auction search")</x:f>
      </x:c>
      <x:c r="H121" s="148" t="str">
        <x:v>UK-specific non-specialist wording.</x:v>
      </x:c>
      <x:c r="I121" s="148" t="str">
        <x:v>Storage damage risk.</x:v>
      </x:c>
      <x:c r="J121" s="151" t="str">
        <x:v>Auction • Ending soonest • Raw-focused</x:v>
      </x:c>
    </x:row>
    <x:row r="122">
      <x:c r="A122" s="146" t="n">
        <x:v>115</x:v>
      </x:c>
      <x:c r="B122" s="147" t="n">
        <x:v>63</x:v>
      </x:c>
      <x:c r="C122" s="148" t="str">
        <x:v>Pokémon cards attic find</x:v>
      </x:c>
      <x:c r="D122" s="148" t="str">
        <x:v>Mixed lot</x:v>
      </x:c>
      <x:c r="E122" s="149" t="str">
        <x:v>NO</x:v>
      </x:c>
      <x:c r="F122" s="149" t="str">
        <x:f>"pokemon cards attic find -PSA -CGC -BGS -graded -slab -proxy -custom"</x:f>
        <x:v>pokemon cards attic find -PSA -CGC -BGS -graded -slab -proxy -custom</x:v>
      </x:c>
      <x:c r="G122" s="150" t="e">
        <x:f>HYPERLINK("https://www.ebay.co.uk/sch/i.html?_nkw="&amp;SUBSTITUTE(F122," ","+")&amp;"&amp;LH_Auction=1&amp;_sop=1","Open eBay auction search")</x:f>
      </x:c>
      <x:c r="H122" s="148" t="str">
        <x:v>Targets found collections.</x:v>
      </x:c>
      <x:c r="I122" s="148" t="str">
        <x:v>Moisture risk.</x:v>
      </x:c>
      <x:c r="J122" s="151" t="str">
        <x:v>Auction • Ending soonest • Raw-focused</x:v>
      </x:c>
    </x:row>
    <x:row r="123">
      <x:c r="A123" s="146" t="n">
        <x:v>116</x:v>
      </x:c>
      <x:c r="B123" s="147" t="n">
        <x:v>62</x:v>
      </x:c>
      <x:c r="C123" s="148" t="str">
        <x:v>Pokémon cards house clearance</x:v>
      </x:c>
      <x:c r="D123" s="148" t="str">
        <x:v>Mixed lot</x:v>
      </x:c>
      <x:c r="E123" s="149" t="str">
        <x:v>NO</x:v>
      </x:c>
      <x:c r="F123" s="149" t="str">
        <x:f>"pokemon cards house clearance -PSA -CGC -BGS -graded -slab -proxy -custom"</x:f>
        <x:v>pokemon cards house clearance -PSA -CGC -BGS -graded -slab -proxy -custom</x:v>
      </x:c>
      <x:c r="G123" s="150" t="e">
        <x:f>HYPERLINK("https://www.ebay.co.uk/sch/i.html?_nkw="&amp;SUBSTITUTE(F123," ","+")&amp;"&amp;LH_Auction=1&amp;_sop=1","Open eBay auction search")</x:f>
      </x:c>
      <x:c r="H123" s="148" t="str">
        <x:v>Potentially weakly researched lots.</x:v>
      </x:c>
      <x:c r="I123" s="148" t="str">
        <x:v>Incomplete descriptions.</x:v>
      </x:c>
      <x:c r="J123" s="151" t="str">
        <x:v>Auction • Ending soonest • Raw-focused</x:v>
      </x:c>
    </x:row>
    <x:row r="124">
      <x:c r="A124" s="146" t="n">
        <x:v>117</x:v>
      </x:c>
      <x:c r="B124" s="147" t="n">
        <x:v>62</x:v>
      </x:c>
      <x:c r="C124" s="148" t="str">
        <x:v>Pokémon cards job lot old</x:v>
      </x:c>
      <x:c r="D124" s="148" t="str">
        <x:v>Mixed lot</x:v>
      </x:c>
      <x:c r="E124" s="149" t="str">
        <x:v>NO</x:v>
      </x:c>
      <x:c r="F124" s="149" t="str">
        <x:f>"pokemon cards job lot old -PSA -CGC -BGS -graded -slab -proxy -custom"</x:f>
        <x:v>pokemon cards job lot old -PSA -CGC -BGS -graded -slab -proxy -custom</x:v>
      </x:c>
      <x:c r="G124" s="150" t="e">
        <x:f>HYPERLINK("https://www.ebay.co.uk/sch/i.html?_nkw="&amp;SUBSTITUTE(F124," ","+")&amp;"&amp;LH_Auction=1&amp;_sop=1","Open eBay auction search")</x:f>
      </x:c>
      <x:c r="H124" s="148" t="str">
        <x:v>UK wording for mixed lots.</x:v>
      </x:c>
      <x:c r="I124" s="148" t="str">
        <x:v>Bulk can hide low value.</x:v>
      </x:c>
      <x:c r="J124" s="151" t="str">
        <x:v>Auction • Ending soonest • Raw-focused</x:v>
      </x:c>
    </x:row>
    <x:row r="125">
      <x:c r="A125" s="146" t="n">
        <x:v>118</x:v>
      </x:c>
      <x:c r="B125" s="147" t="n">
        <x:v>62</x:v>
      </x:c>
      <x:c r="C125" s="148" t="str">
        <x:v>Pokémon cards no idea value</x:v>
      </x:c>
      <x:c r="D125" s="148" t="str">
        <x:v>Mixed lot</x:v>
      </x:c>
      <x:c r="E125" s="149" t="str">
        <x:v>NO</x:v>
      </x:c>
      <x:c r="F125" s="149" t="str">
        <x:f>"pokemon cards no idea value -PSA -CGC -BGS -graded -slab -proxy -custom"</x:f>
        <x:v>pokemon cards no idea value -PSA -CGC -BGS -graded -slab -proxy -custom</x:v>
      </x:c>
      <x:c r="G125" s="150" t="e">
        <x:f>HYPERLINK("https://www.ebay.co.uk/sch/i.html?_nkw="&amp;SUBSTITUTE(F125," ","+")&amp;"&amp;LH_Auction=1&amp;_sop=1","Open eBay auction search")</x:f>
      </x:c>
      <x:c r="H125" s="148" t="str">
        <x:v>Non-specialist seller signal.</x:v>
      </x:c>
      <x:c r="I125" s="148" t="str">
        <x:v>Can be bait wording.</x:v>
      </x:c>
      <x:c r="J125" s="151" t="str">
        <x:v>Auction • Ending soonest • Raw-focused</x:v>
      </x:c>
    </x:row>
    <x:row r="126">
      <x:c r="A126" s="146" t="n">
        <x:v>119</x:v>
      </x:c>
      <x:c r="B126" s="147" t="n">
        <x:v>61</x:v>
      </x:c>
      <x:c r="C126" s="148" t="str">
        <x:v>Pokémon cards unknown collection</x:v>
      </x:c>
      <x:c r="D126" s="148" t="str">
        <x:v>Mixed lot</x:v>
      </x:c>
      <x:c r="E126" s="149" t="str">
        <x:v>NO</x:v>
      </x:c>
      <x:c r="F126" s="149" t="str">
        <x:f>"pokemon cards unknown collection -PSA -CGC -BGS -graded -slab -proxy -custom"</x:f>
        <x:v>pokemon cards unknown collection -PSA -CGC -BGS -graded -slab -proxy -custom</x:v>
      </x:c>
      <x:c r="G126" s="150" t="e">
        <x:f>HYPERLINK("https://www.ebay.co.uk/sch/i.html?_nkw="&amp;SUBSTITUTE(F126," ","+")&amp;"&amp;LH_Auction=1&amp;_sop=1","Open eBay auction search")</x:f>
      </x:c>
      <x:c r="H126" s="148" t="str">
        <x:v>Potentially unidentified cards.</x:v>
      </x:c>
      <x:c r="I126" s="148" t="str">
        <x:v>Treat hidden cards as £0.</x:v>
      </x:c>
      <x:c r="J126" s="151" t="str">
        <x:v>Auction • Ending soonest • Raw-focused</x:v>
      </x:c>
    </x:row>
    <x:row r="127">
      <x:c r="A127" s="146" t="n">
        <x:v>120</x:v>
      </x:c>
      <x:c r="B127" s="147" t="n">
        <x:v>61</x:v>
      </x:c>
      <x:c r="C127" s="148" t="str">
        <x:v>Pokémon holo bundle auction</x:v>
      </x:c>
      <x:c r="D127" s="148" t="str">
        <x:v>Mixed lot</x:v>
      </x:c>
      <x:c r="E127" s="149" t="str">
        <x:v>NO</x:v>
      </x:c>
      <x:c r="F127" s="149" t="str">
        <x:f>"pokemon holo bundle -PSA -CGC -BGS -graded -slab -proxy -custom"</x:f>
        <x:v>pokemon holo bundle -PSA -CGC -BGS -graded -slab -proxy -custom</x:v>
      </x:c>
      <x:c r="G127" s="150" t="e">
        <x:f>HYPERLINK("https://www.ebay.co.uk/sch/i.html?_nkw="&amp;SUBSTITUTE(F127," ","+")&amp;"&amp;LH_Auction=1&amp;_sop=1","Open eBay auction search")</x:f>
      </x:c>
      <x:c r="H127" s="148" t="str">
        <x:v>Can reduce postage per card.</x:v>
      </x:c>
      <x:c r="I127" s="148" t="str">
        <x:v>May be modern low-value bulk.</x:v>
      </x:c>
      <x:c r="J127" s="151" t="str">
        <x:v>Auction • Ending soonest • Raw-focused</x:v>
      </x:c>
    </x:row>
    <x:row r="128">
      <x:c r="A128" s="146" t="n">
        <x:v>121</x:v>
      </x:c>
      <x:c r="B128" s="147" t="n">
        <x:v>61</x:v>
      </x:c>
      <x:c r="C128" s="148" t="str">
        <x:v>Pokémon promo bundle auction</x:v>
      </x:c>
      <x:c r="D128" s="148" t="str">
        <x:v>Mixed lot</x:v>
      </x:c>
      <x:c r="E128" s="149" t="str">
        <x:v>NO</x:v>
      </x:c>
      <x:c r="F128" s="149" t="str">
        <x:f>"pokemon promo bundle -PSA -CGC -BGS -graded -slab -proxy -custom"</x:f>
        <x:v>pokemon promo bundle -PSA -CGC -BGS -graded -slab -proxy -custom</x:v>
      </x:c>
      <x:c r="G128" s="150" t="e">
        <x:f>HYPERLINK("https://www.ebay.co.uk/sch/i.html?_nkw="&amp;SUBSTITUTE(F128," ","+")&amp;"&amp;LH_Auction=1&amp;_sop=1","Open eBay auction search")</x:f>
      </x:c>
      <x:c r="H128" s="148" t="str">
        <x:v>Promos may be under-researched.</x:v>
      </x:c>
      <x:c r="I128" s="148" t="str">
        <x:v>Check duplicates and condition.</x:v>
      </x:c>
      <x:c r="J128" s="151" t="str">
        <x:v>Auction • Ending soonest • Raw-focused</x:v>
      </x:c>
    </x:row>
    <x:row r="129">
      <x:c r="A129" s="146" t="n">
        <x:v>122</x:v>
      </x:c>
      <x:c r="B129" s="147" t="n">
        <x:v>60</x:v>
      </x:c>
      <x:c r="C129" s="148" t="str">
        <x:v>Pokémon reverse holo bundle</x:v>
      </x:c>
      <x:c r="D129" s="148" t="str">
        <x:v>Mixed lot</x:v>
      </x:c>
      <x:c r="E129" s="149" t="str">
        <x:v>NO</x:v>
      </x:c>
      <x:c r="F129" s="149" t="str">
        <x:f>"pokemon reverse holo bundle -PSA -CGC -BGS -graded -slab -proxy -custom"</x:f>
        <x:v>pokemon reverse holo bundle -PSA -CGC -BGS -graded -slab -proxy -custom</x:v>
      </x:c>
      <x:c r="G129" s="150" t="e">
        <x:f>HYPERLINK("https://www.ebay.co.uk/sch/i.html?_nkw="&amp;SUBSTITUTE(F129," ","+")&amp;"&amp;LH_Auction=1&amp;_sop=1","Open eBay auction search")</x:f>
      </x:c>
      <x:c r="H129" s="148" t="str">
        <x:v>Potential set-fill bargains.</x:v>
      </x:c>
      <x:c r="I129" s="148" t="str">
        <x:v>Often mostly bulk.</x:v>
      </x:c>
      <x:c r="J129" s="151" t="str">
        <x:v>Auction • Ending soonest • Raw-focused</x:v>
      </x:c>
    </x:row>
    <x:row r="130">
      <x:c r="A130" s="146" t="n">
        <x:v>123</x:v>
      </x:c>
      <x:c r="B130" s="147" t="n">
        <x:v>60</x:v>
      </x:c>
      <x:c r="C130" s="148" t="str">
        <x:v>Pokémon vintage singles bundle</x:v>
      </x:c>
      <x:c r="D130" s="148" t="str">
        <x:v>Mixed lot</x:v>
      </x:c>
      <x:c r="E130" s="149" t="str">
        <x:v>NO</x:v>
      </x:c>
      <x:c r="F130" s="149" t="str">
        <x:f>"pokemon vintage singles bundle -PSA -CGC -BGS -graded -slab -proxy -custom"</x:f>
        <x:v>pokemon vintage singles bundle -PSA -CGC -BGS -graded -slab -proxy -custom</x:v>
      </x:c>
      <x:c r="G130" s="150" t="e">
        <x:f>HYPERLINK("https://www.ebay.co.uk/sch/i.html?_nkw="&amp;SUBSTITUTE(F130," ","+")&amp;"&amp;LH_Auction=1&amp;_sop=1","Open eBay auction search")</x:f>
      </x:c>
      <x:c r="H130" s="148" t="str">
        <x:v>Multiple older singles in one lot.</x:v>
      </x:c>
      <x:c r="I130" s="148" t="str">
        <x:v>Condition varies card-by-card.</x:v>
      </x:c>
      <x:c r="J130" s="151" t="str">
        <x:v>Auction • Ending soonest • Raw-focused</x:v>
      </x:c>
    </x:row>
    <x:row r="131">
      <x:c r="A131" s="146" t="n">
        <x:v>124</x:v>
      </x:c>
      <x:c r="B131" s="147" t="n">
        <x:v>60</x:v>
      </x:c>
      <x:c r="C131" s="148" t="str">
        <x:v>Pokémon card album old</x:v>
      </x:c>
      <x:c r="D131" s="148" t="str">
        <x:v>Mixed lot</x:v>
      </x:c>
      <x:c r="E131" s="149" t="str">
        <x:v>NO</x:v>
      </x:c>
      <x:c r="F131" s="149" t="str">
        <x:f>"pokemon card album old -PSA -CGC -BGS -graded -slab -proxy -custom"</x:f>
        <x:v>pokemon card album old -PSA -CGC -BGS -graded -slab -proxy -custom</x:v>
      </x:c>
      <x:c r="G131" s="150" t="e">
        <x:f>HYPERLINK("https://www.ebay.co.uk/sch/i.html?_nkw="&amp;SUBSTITUTE(F131," ","+")&amp;"&amp;LH_Auction=1&amp;_sop=1","Open eBay auction search")</x:f>
      </x:c>
      <x:c r="H131" s="148" t="str">
        <x:v>Binder listings may hide value.</x:v>
      </x:c>
      <x:c r="I131" s="148" t="str">
        <x:v>Binder storage can damage cards.</x:v>
      </x:c>
      <x:c r="J131" s="151" t="str">
        <x:v>Auction • Ending soonest • Raw-focused</x:v>
      </x:c>
    </x:row>
    <x:row r="132">
      <x:c r="A132" s="146" t="n">
        <x:v>125</x:v>
      </x:c>
      <x:c r="B132" s="147" t="n">
        <x:v>59</x:v>
      </x:c>
      <x:c r="C132" s="148" t="str">
        <x:v>Pokémon folder collection old</x:v>
      </x:c>
      <x:c r="D132" s="148" t="str">
        <x:v>Mixed lot</x:v>
      </x:c>
      <x:c r="E132" s="149" t="str">
        <x:v>NO</x:v>
      </x:c>
      <x:c r="F132" s="149" t="str">
        <x:f>"pokemon folder collection old -PSA -CGC -BGS -graded -slab -proxy -custom"</x:f>
        <x:v>pokemon folder collection old -PSA -CGC -BGS -graded -slab -proxy -custom</x:v>
      </x:c>
      <x:c r="G132" s="150" t="e">
        <x:f>HYPERLINK("https://www.ebay.co.uk/sch/i.html?_nkw="&amp;SUBSTITUTE(F132," ","+")&amp;"&amp;LH_Auction=1&amp;_sop=1","Open eBay auction search")</x:f>
      </x:c>
      <x:c r="H132" s="148" t="str">
        <x:v>Casual UK wording for binders.</x:v>
      </x:c>
      <x:c r="I132" s="148" t="str">
        <x:v>Photographs may be incomplete.</x:v>
      </x:c>
      <x:c r="J132" s="151" t="str">
        <x:v>Auction • Ending soonest • Raw-focused</x:v>
      </x:c>
    </x:row>
    <x:row r="133">
      <x:c r="A133" s="146" t="n">
        <x:v>126</x:v>
      </x:c>
      <x:c r="B133" s="147" t="n">
        <x:v>59</x:v>
      </x:c>
      <x:c r="C133" s="148" t="str">
        <x:v>Pokémon trading cards 1990s</x:v>
      </x:c>
      <x:c r="D133" s="148" t="str">
        <x:v>Generic vintage</x:v>
      </x:c>
      <x:c r="E133" s="149" t="str">
        <x:v>NO</x:v>
      </x:c>
      <x:c r="F133" s="149" t="str">
        <x:f>"pokemon trading cards 1990s -PSA -CGC -BGS -graded -slab -proxy -custom"</x:f>
        <x:v>pokemon trading cards 1990s -PSA -CGC -BGS -graded -slab -proxy -custom</x:v>
      </x:c>
      <x:c r="G133" s="150" t="e">
        <x:f>HYPERLINK("https://www.ebay.co.uk/sch/i.html?_nkw="&amp;SUBSTITUTE(F133," ","+")&amp;"&amp;LH_Auction=1&amp;_sop=1","Open eBay auction search")</x:f>
      </x:c>
      <x:c r="H133" s="148" t="str">
        <x:v>Broad early-era search.</x:v>
      </x:c>
      <x:c r="I133" s="148" t="str">
        <x:v>May include Topps and non-TCG cards.</x:v>
      </x:c>
      <x:c r="J133" s="151" t="str">
        <x:v>Auction • Ending soonest • Raw-focused</x:v>
      </x:c>
    </x:row>
    <x:row r="134">
      <x:c r="A134" s="146" t="n">
        <x:v>127</x:v>
      </x:c>
      <x:c r="B134" s="147" t="n">
        <x:v>59</x:v>
      </x:c>
      <x:c r="C134" s="148" t="str">
        <x:v>Pocket Monsters card old</x:v>
      </x:c>
      <x:c r="D134" s="148" t="str">
        <x:v>Japanese/foreign</x:v>
      </x:c>
      <x:c r="E134" s="149" t="str">
        <x:v>NO</x:v>
      </x:c>
      <x:c r="F134" s="149" t="str">
        <x:f>"pocket monsters card old -PSA -CGC -BGS -graded -slab -proxy -custom"</x:f>
        <x:v>pocket monsters card old -PSA -CGC -BGS -graded -slab -proxy -custom</x:v>
      </x:c>
      <x:c r="G134" s="150" t="e">
        <x:f>HYPERLINK("https://www.ebay.co.uk/sch/i.html?_nkw="&amp;SUBSTITUTE(F134," ","+")&amp;"&amp;LH_Auction=1&amp;_sop=1","Open eBay auction search")</x:f>
      </x:c>
      <x:c r="H134" s="148" t="str">
        <x:v>Finds Japanese cards described informally.</x:v>
      </x:c>
      <x:c r="I134" s="148" t="str">
        <x:v>Language-specific pricing needed.</x:v>
      </x:c>
      <x:c r="J134" s="151" t="str">
        <x:v>Auction • Ending soonest • Raw-focused</x:v>
      </x:c>
    </x:row>
    <x:row r="135">
      <x:c r="A135" s="146" t="n">
        <x:v>128</x:v>
      </x:c>
      <x:c r="B135" s="147" t="n">
        <x:v>58</x:v>
      </x:c>
      <x:c r="C135" s="148" t="str">
        <x:v>Japanese Pokémon promo old</x:v>
      </x:c>
      <x:c r="D135" s="148" t="str">
        <x:v>Japanese/foreign</x:v>
      </x:c>
      <x:c r="E135" s="149" t="str">
        <x:v>NO</x:v>
      </x:c>
      <x:c r="F135" s="149" t="str">
        <x:f>"japanese pokemon promo old -PSA -CGC -BGS -graded -slab -proxy -custom"</x:f>
        <x:v>japanese pokemon promo old -PSA -CGC -BGS -graded -slab -proxy -custom</x:v>
      </x:c>
      <x:c r="G135" s="150" t="e">
        <x:f>HYPERLINK("https://www.ebay.co.uk/sch/i.html?_nkw="&amp;SUBSTITUTE(F135," ","+")&amp;"&amp;LH_Auction=1&amp;_sop=1","Open eBay auction search")</x:f>
      </x:c>
      <x:c r="H135" s="148" t="str">
        <x:v>Targets older Japanese promos.</x:v>
      </x:c>
      <x:c r="I135" s="148" t="str">
        <x:v>Use Japanese-market comparables.</x:v>
      </x:c>
      <x:c r="J135" s="151" t="str">
        <x:v>Auction • Ending soonest • Raw-focused</x:v>
      </x:c>
    </x:row>
    <x:row r="136">
      <x:c r="A136" s="146" t="n">
        <x:v>129</x:v>
      </x:c>
      <x:c r="B136" s="147" t="n">
        <x:v>58</x:v>
      </x:c>
      <x:c r="C136" s="148" t="str">
        <x:v>Pokémon vending card old</x:v>
      </x:c>
      <x:c r="D136" s="148" t="str">
        <x:v>Japanese/foreign</x:v>
      </x:c>
      <x:c r="E136" s="149" t="str">
        <x:v>NO</x:v>
      </x:c>
      <x:c r="F136" s="149" t="str">
        <x:f>"pokemon vending card old -PSA -CGC -BGS -graded -slab -proxy -custom"</x:f>
        <x:v>pokemon vending card old -PSA -CGC -BGS -graded -slab -proxy -custom</x:v>
      </x:c>
      <x:c r="G136" s="150" t="e">
        <x:f>HYPERLINK("https://www.ebay.co.uk/sch/i.html?_nkw="&amp;SUBSTITUTE(F136," ","+")&amp;"&amp;LH_Auction=1&amp;_sop=1","Open eBay auction search")</x:f>
      </x:c>
      <x:c r="H136" s="148" t="str">
        <x:v>Specialist Japanese niche.</x:v>
      </x:c>
      <x:c r="I136" s="148" t="str">
        <x:v>Authentication required.</x:v>
      </x:c>
      <x:c r="J136" s="151" t="str">
        <x:v>Auction • Ending soonest • Raw-focused</x:v>
      </x:c>
    </x:row>
    <x:row r="137">
      <x:c r="A137" s="146" t="n">
        <x:v>130</x:v>
      </x:c>
      <x:c r="B137" s="147" t="n">
        <x:v>58</x:v>
      </x:c>
      <x:c r="C137" s="148" t="str">
        <x:v>Pokémon card Japanese glossy</x:v>
      </x:c>
      <x:c r="D137" s="148" t="str">
        <x:v>Japanese/foreign</x:v>
      </x:c>
      <x:c r="E137" s="149" t="str">
        <x:v>NO</x:v>
      </x:c>
      <x:c r="F137" s="149" t="str">
        <x:f>"pokemon card japanese glossy -PSA -CGC -BGS -graded -slab -proxy -custom"</x:f>
        <x:v>pokemon card japanese glossy -PSA -CGC -BGS -graded -slab -proxy -custom</x:v>
      </x:c>
      <x:c r="G137" s="150" t="e">
        <x:f>HYPERLINK("https://www.ebay.co.uk/sch/i.html?_nkw="&amp;SUBSTITUTE(F137," ","+")&amp;"&amp;LH_Auction=1&amp;_sop=1","Open eBay auction search")</x:f>
      </x:c>
      <x:c r="H137" s="148" t="str">
        <x:v>Targets older glossy promos/vending cards.</x:v>
      </x:c>
      <x:c r="I137" s="148" t="str">
        <x:v>Very specialist.</x:v>
      </x:c>
      <x:c r="J137" s="151" t="str">
        <x:v>Auction • Ending soonest • Raw-focused</x:v>
      </x:c>
    </x:row>
    <x:row r="138">
      <x:c r="A138" s="146" t="n">
        <x:v>131</x:v>
      </x:c>
      <x:c r="B138" s="147" t="n">
        <x:v>57</x:v>
      </x:c>
      <x:c r="C138" s="148" t="str">
        <x:v>Pokémon card no symbol</x:v>
      </x:c>
      <x:c r="D138" s="148" t="str">
        <x:v>Specialist</x:v>
      </x:c>
      <x:c r="E138" s="149" t="str">
        <x:v>NO</x:v>
      </x:c>
      <x:c r="F138" s="149" t="str">
        <x:f>"pokemon card no symbol -PSA -CGC -BGS -graded -slab -proxy -custom"</x:f>
        <x:v>pokemon card no symbol -PSA -CGC -BGS -graded -slab -proxy -custom</x:v>
      </x:c>
      <x:c r="G138" s="150" t="e">
        <x:f>HYPERLINK("https://www.ebay.co.uk/sch/i.html?_nkw="&amp;SUBSTITUTE(F138," ","+")&amp;"&amp;LH_Auction=1&amp;_sop=1","Open eBay auction search")</x:f>
      </x:c>
      <x:c r="H138" s="148" t="str">
        <x:v>May find Jungle no-symbol holos.</x:v>
      </x:c>
      <x:c r="I138" s="148" t="str">
        <x:v>Many irrelevant results.</x:v>
      </x:c>
      <x:c r="J138" s="151" t="str">
        <x:v>Auction • Ending soonest • Raw-focused</x:v>
      </x:c>
    </x:row>
    <x:row r="139">
      <x:c r="A139" s="146" t="n">
        <x:v>132</x:v>
      </x:c>
      <x:c r="B139" s="147" t="n">
        <x:v>57</x:v>
      </x:c>
      <x:c r="C139" s="148" t="str">
        <x:v>Pokémon grey stamp card</x:v>
      </x:c>
      <x:c r="D139" s="148" t="str">
        <x:v>Specialist</x:v>
      </x:c>
      <x:c r="E139" s="149" t="str">
        <x:v>NO</x:v>
      </x:c>
      <x:c r="F139" s="149" t="str">
        <x:f>"pokemon grey stamp card -PSA -CGC -BGS -graded -slab -proxy -custom"</x:f>
        <x:v>pokemon grey stamp card -PSA -CGC -BGS -graded -slab -proxy -custom</x:v>
      </x:c>
      <x:c r="G139" s="150" t="e">
        <x:f>HYPERLINK("https://www.ebay.co.uk/sch/i.html?_nkw="&amp;SUBSTITUTE(F139," ","+")&amp;"&amp;LH_Auction=1&amp;_sop=1","Open eBay auction search")</x:f>
      </x:c>
      <x:c r="H139" s="148" t="str">
        <x:v>Targets Base Set grey-stamp variants.</x:v>
      </x:c>
      <x:c r="I139" s="148" t="str">
        <x:v>Specialist authentication needed.</x:v>
      </x:c>
      <x:c r="J139" s="151" t="str">
        <x:v>Auction • Ending soonest • Raw-focused</x:v>
      </x:c>
    </x:row>
    <x:row r="140">
      <x:c r="A140" s="146" t="n">
        <x:v>133</x:v>
      </x:c>
      <x:c r="B140" s="147" t="n">
        <x:v>57</x:v>
      </x:c>
      <x:c r="C140" s="148" t="str">
        <x:v>Pokémon shadowless card auction</x:v>
      </x:c>
      <x:c r="D140" s="148" t="str">
        <x:v>Generic vintage</x:v>
      </x:c>
      <x:c r="E140" s="149" t="str">
        <x:v>NO</x:v>
      </x:c>
      <x:c r="F140" s="149" t="str">
        <x:f>"pokemon shadowless card -PSA -CGC -BGS -graded -slab -proxy -custom"</x:f>
        <x:v>pokemon shadowless card -PSA -CGC -BGS -graded -slab -proxy -custom</x:v>
      </x:c>
      <x:c r="G140" s="150" t="e">
        <x:f>HYPERLINK("https://www.ebay.co.uk/sch/i.html?_nkw="&amp;SUBSTITUTE(F140," ","+")&amp;"&amp;LH_Auction=1&amp;_sop=1","Open eBay auction search")</x:f>
      </x:c>
      <x:c r="H140" s="148" t="str">
        <x:v>Targets Base Set shadowless.</x:v>
      </x:c>
      <x:c r="I140" s="148" t="str">
        <x:v>High counterfeit risk.</x:v>
      </x:c>
      <x:c r="J140" s="151" t="str">
        <x:v>Auction • Ending soonest • Raw-focused</x:v>
      </x:c>
    </x:row>
    <x:row r="141">
      <x:c r="A141" s="146" t="n">
        <x:v>134</x:v>
      </x:c>
      <x:c r="B141" s="147" t="n">
        <x:v>56</x:v>
      </x:c>
      <x:c r="C141" s="148" t="str">
        <x:v>Pokémon unlimited vintage card</x:v>
      </x:c>
      <x:c r="D141" s="148" t="str">
        <x:v>Generic vintage</x:v>
      </x:c>
      <x:c r="E141" s="149" t="str">
        <x:v>NO</x:v>
      </x:c>
      <x:c r="F141" s="149" t="str">
        <x:f>"pokemon unlimited vintage card -PSA -CGC -BGS -graded -slab -proxy -custom"</x:f>
        <x:v>pokemon unlimited vintage card -PSA -CGC -BGS -graded -slab -proxy -custom</x:v>
      </x:c>
      <x:c r="G141" s="150" t="e">
        <x:f>HYPERLINK("https://www.ebay.co.uk/sch/i.html?_nkw="&amp;SUBSTITUTE(F141," ","+")&amp;"&amp;LH_Auction=1&amp;_sop=1","Open eBay auction search")</x:f>
      </x:c>
      <x:c r="H141" s="148" t="str">
        <x:v>Separates unlimited copies from 1st Edition.</x:v>
      </x:c>
      <x:c r="I141" s="148" t="str">
        <x:v>Broad.</x:v>
      </x:c>
      <x:c r="J141" s="151" t="str">
        <x:v>Auction • Ending soonest • Raw-focused</x:v>
      </x:c>
    </x:row>
    <x:row r="142">
      <x:c r="A142" s="146" t="n">
        <x:v>135</x:v>
      </x:c>
      <x:c r="B142" s="147" t="n">
        <x:v>56</x:v>
      </x:c>
      <x:c r="C142" s="148" t="str">
        <x:v>Pokémon damaged vintage holo</x:v>
      </x:c>
      <x:c r="D142" s="148" t="str">
        <x:v>Condition opportunity</x:v>
      </x:c>
      <x:c r="E142" s="149" t="str">
        <x:v>NO</x:v>
      </x:c>
      <x:c r="F142" s="149" t="str">
        <x:f>"pokemon damaged vintage holo -PSA -CGC -BGS -graded -slab -proxy -custom"</x:f>
        <x:v>pokemon damaged vintage holo -PSA -CGC -BGS -graded -slab -proxy -custom</x:v>
      </x:c>
      <x:c r="G142" s="150" t="e">
        <x:f>HYPERLINK("https://www.ebay.co.uk/sch/i.html?_nkw="&amp;SUBSTITUTE(F142," ","+")&amp;"&amp;LH_Auction=1&amp;_sop=1","Open eBay auction search")</x:f>
      </x:c>
      <x:c r="H142" s="148" t="str">
        <x:v>Could suit binder collection at deep discount.</x:v>
      </x:c>
      <x:c r="I142" s="148" t="str">
        <x:v>Not investment-grade.</x:v>
      </x:c>
      <x:c r="J142" s="151" t="str">
        <x:v>Auction • Ending soonest • Raw-focused</x:v>
      </x:c>
    </x:row>
    <x:row r="143">
      <x:c r="A143" s="146" t="n">
        <x:v>136</x:v>
      </x:c>
      <x:c r="B143" s="147" t="n">
        <x:v>56</x:v>
      </x:c>
      <x:c r="C143" s="148" t="str">
        <x:v>Pokémon lightly played vintage</x:v>
      </x:c>
      <x:c r="D143" s="148" t="str">
        <x:v>Condition opportunity</x:v>
      </x:c>
      <x:c r="E143" s="149" t="str">
        <x:v>NO</x:v>
      </x:c>
      <x:c r="F143" s="149" t="str">
        <x:f>"pokemon lightly played vintage card -PSA -CGC -BGS -graded -slab -proxy -custom"</x:f>
        <x:v>pokemon lightly played vintage card -PSA -CGC -BGS -graded -slab -proxy -custom</x:v>
      </x:c>
      <x:c r="G143" s="150" t="e">
        <x:f>HYPERLINK("https://www.ebay.co.uk/sch/i.html?_nkw="&amp;SUBSTITUTE(F143," ","+")&amp;"&amp;LH_Auction=1&amp;_sop=1","Open eBay auction search")</x:f>
      </x:c>
      <x:c r="H143" s="148" t="str">
        <x:v>Can uncover attractive binder copies.</x:v>
      </x:c>
      <x:c r="I143" s="148" t="str">
        <x:v>Do not value as Near Mint.</x:v>
      </x:c>
      <x:c r="J143" s="151" t="str">
        <x:v>Auction • Ending soonest • Raw-focused</x:v>
      </x:c>
    </x:row>
    <x:row r="144">
      <x:c r="A144" s="146" t="n">
        <x:v>137</x:v>
      </x:c>
      <x:c r="B144" s="147" t="n">
        <x:v>55</x:v>
      </x:c>
      <x:c r="C144" s="148" t="str">
        <x:v>Pokémon near mint vintage auction</x:v>
      </x:c>
      <x:c r="D144" s="148" t="str">
        <x:v>Condition wording</x:v>
      </x:c>
      <x:c r="E144" s="149" t="str">
        <x:v>NO</x:v>
      </x:c>
      <x:c r="F144" s="149" t="str">
        <x:f>"pokemon near mint vintage card -PSA -CGC -BGS -graded -slab -proxy -custom"</x:f>
        <x:v>pokemon near mint vintage card -PSA -CGC -BGS -graded -slab -proxy -custom</x:v>
      </x:c>
      <x:c r="G144" s="150" t="e">
        <x:f>HYPERLINK("https://www.ebay.co.uk/sch/i.html?_nkw="&amp;SUBSTITUTE(F144," ","+")&amp;"&amp;LH_Auction=1&amp;_sop=1","Open eBay auction search")</x:f>
      </x:c>
      <x:c r="H144" s="148" t="str">
        <x:v>Seller-claimed NM older cards.</x:v>
      </x:c>
      <x:c r="I144" s="148" t="str">
        <x:v>Verify photos closely.</x:v>
      </x:c>
      <x:c r="J144" s="151" t="str">
        <x:v>Auction • Ending soonest • Raw-focused</x:v>
      </x:c>
    </x:row>
    <x:row r="145">
      <x:c r="A145" s="146" t="n">
        <x:v>138</x:v>
      </x:c>
      <x:c r="B145" s="147" t="n">
        <x:v>55</x:v>
      </x:c>
      <x:c r="C145" s="148" t="str">
        <x:v>Pokémon mint condition card auction</x:v>
      </x:c>
      <x:c r="D145" s="148" t="str">
        <x:v>Condition wording</x:v>
      </x:c>
      <x:c r="E145" s="149" t="str">
        <x:v>NO</x:v>
      </x:c>
      <x:c r="F145" s="149" t="str">
        <x:f>"pokemon mint condition card -PSA -CGC -BGS -graded -slab -proxy -custom"</x:f>
        <x:v>pokemon mint condition card -PSA -CGC -BGS -graded -slab -proxy -custom</x:v>
      </x:c>
      <x:c r="G145" s="150" t="e">
        <x:f>HYPERLINK("https://www.ebay.co.uk/sch/i.html?_nkw="&amp;SUBSTITUTE(F145," ","+")&amp;"&amp;LH_Auction=1&amp;_sop=1","Open eBay auction search")</x:f>
      </x:c>
      <x:c r="H145" s="148" t="str">
        <x:v>Targets optimistic seller descriptions.</x:v>
      </x:c>
      <x:c r="I145" s="148" t="str">
        <x:v>“Mint” is unverified.</x:v>
      </x:c>
      <x:c r="J145" s="151" t="str">
        <x:v>Auction • Ending soonest • Raw-focused</x:v>
      </x:c>
    </x:row>
    <x:row r="146">
      <x:c r="A146" s="146" t="n">
        <x:v>139</x:v>
      </x:c>
      <x:c r="B146" s="147" t="n">
        <x:v>55</x:v>
      </x:c>
      <x:c r="C146" s="148" t="str">
        <x:v>Pokémon pack fresh card auction</x:v>
      </x:c>
      <x:c r="D146" s="148" t="str">
        <x:v>Condition wording</x:v>
      </x:c>
      <x:c r="E146" s="149" t="str">
        <x:v>NO</x:v>
      </x:c>
      <x:c r="F146" s="149" t="str">
        <x:f>"pokemon pack fresh card -PSA -CGC -BGS -graded -slab -proxy -custom"</x:f>
        <x:v>pokemon pack fresh card -PSA -CGC -BGS -graded -slab -proxy -custom</x:v>
      </x:c>
      <x:c r="G146" s="150" t="e">
        <x:f>HYPERLINK("https://www.ebay.co.uk/sch/i.html?_nkw="&amp;SUBSTITUTE(F146," ","+")&amp;"&amp;LH_Auction=1&amp;_sop=1","Open eBay auction search")</x:f>
      </x:c>
      <x:c r="H146" s="148" t="str">
        <x:v>Modern clean-card candidates.</x:v>
      </x:c>
      <x:c r="I146" s="148" t="str">
        <x:v>Pack fresh does not guarantee NM.</x:v>
      </x:c>
      <x:c r="J146" s="151" t="str">
        <x:v>Auction • Ending soonest • Raw-focused</x:v>
      </x:c>
    </x:row>
    <x:row r="147">
      <x:c r="A147" s="146" t="n">
        <x:v>140</x:v>
      </x:c>
      <x:c r="B147" s="147" t="n">
        <x:v>54</x:v>
      </x:c>
      <x:c r="C147" s="148" t="str">
        <x:v>Pokémon card excellent condition</x:v>
      </x:c>
      <x:c r="D147" s="148" t="str">
        <x:v>Condition wording</x:v>
      </x:c>
      <x:c r="E147" s="149" t="str">
        <x:v>NO</x:v>
      </x:c>
      <x:c r="F147" s="149" t="str">
        <x:f>"pokemon card excellent condition -PSA -CGC -BGS -graded -slab -proxy -custom"</x:f>
        <x:v>pokemon card excellent condition -PSA -CGC -BGS -graded -slab -proxy -custom</x:v>
      </x:c>
      <x:c r="G147" s="150" t="e">
        <x:f>HYPERLINK("https://www.ebay.co.uk/sch/i.html?_nkw="&amp;SUBSTITUTE(F147," ","+")&amp;"&amp;LH_Auction=1&amp;_sop=1","Open eBay auction search")</x:f>
      </x:c>
      <x:c r="H147" s="148" t="str">
        <x:v>European condition wording may be used.</x:v>
      </x:c>
      <x:c r="I147" s="148" t="str">
        <x:v>Excellent is below Near Mint.</x:v>
      </x:c>
      <x:c r="J147" s="151" t="str">
        <x:v>Auction • Ending soonest • Raw-focused</x:v>
      </x:c>
    </x:row>
    <x:row r="148">
      <x:c r="A148" s="146" t="n">
        <x:v>141</x:v>
      </x:c>
      <x:c r="B148" s="147" t="n">
        <x:v>54</x:v>
      </x:c>
      <x:c r="C148" s="148" t="str">
        <x:v>Pokémon card clean back</x:v>
      </x:c>
      <x:c r="D148" s="148" t="str">
        <x:v>Condition wording</x:v>
      </x:c>
      <x:c r="E148" s="149" t="str">
        <x:v>NO</x:v>
      </x:c>
      <x:c r="F148" s="149" t="str">
        <x:f>"pokemon card clean back -PSA -CGC -BGS -graded -slab -proxy -custom"</x:f>
        <x:v>pokemon card clean back -PSA -CGC -BGS -graded -slab -proxy -custom</x:v>
      </x:c>
      <x:c r="G148" s="150" t="e">
        <x:f>HYPERLINK("https://www.ebay.co.uk/sch/i.html?_nkw="&amp;SUBSTITUTE(F148," ","+")&amp;"&amp;LH_Auction=1&amp;_sop=1","Open eBay auction search")</x:f>
      </x:c>
      <x:c r="H148" s="148" t="str">
        <x:v>Unusual wording can find careful sellers.</x:v>
      </x:c>
      <x:c r="I148" s="148" t="str">
        <x:v>Front surface may still be damaged.</x:v>
      </x:c>
      <x:c r="J148" s="151" t="str">
        <x:v>Auction • Ending soonest • Raw-focused</x:v>
      </x:c>
    </x:row>
    <x:row r="149">
      <x:c r="A149" s="146" t="n">
        <x:v>142</x:v>
      </x:c>
      <x:c r="B149" s="147" t="n">
        <x:v>54</x:v>
      </x:c>
      <x:c r="C149" s="148" t="str">
        <x:v>Pokémon card binder fresh</x:v>
      </x:c>
      <x:c r="D149" s="148" t="str">
        <x:v>Condition wording</x:v>
      </x:c>
      <x:c r="E149" s="149" t="str">
        <x:v>NO</x:v>
      </x:c>
      <x:c r="F149" s="149" t="str">
        <x:f>"pokemon card binder fresh -PSA -CGC -BGS -graded -slab -proxy -custom"</x:f>
        <x:v>pokemon card binder fresh -PSA -CGC -BGS -graded -slab -proxy -custom</x:v>
      </x:c>
      <x:c r="G149" s="150" t="e">
        <x:f>HYPERLINK("https://www.ebay.co.uk/sch/i.html?_nkw="&amp;SUBSTITUTE(F149," ","+")&amp;"&amp;LH_Auction=1&amp;_sop=1","Open eBay auction search")</x:f>
      </x:c>
      <x:c r="H149" s="148" t="str">
        <x:v>Casual condition description.</x:v>
      </x:c>
      <x:c r="I149" s="148" t="str">
        <x:v>Binder wear possible.</x:v>
      </x:c>
      <x:c r="J149" s="151" t="str">
        <x:v>Auction • Ending soonest • Raw-focused</x:v>
      </x:c>
    </x:row>
    <x:row r="150">
      <x:c r="A150" s="146" t="n">
        <x:v>143</x:v>
      </x:c>
      <x:c r="B150" s="147" t="n">
        <x:v>53</x:v>
      </x:c>
      <x:c r="C150" s="148" t="str">
        <x:v>Pokémon rare holo no reserve</x:v>
      </x:c>
      <x:c r="D150" s="148" t="str">
        <x:v>Auction wording</x:v>
      </x:c>
      <x:c r="E150" s="149" t="str">
        <x:v>NO</x:v>
      </x:c>
      <x:c r="F150" s="149" t="str">
        <x:f>"pokemon rare holo no reserve -PSA -CGC -BGS -graded -slab -proxy -custom"</x:f>
        <x:v>pokemon rare holo no reserve -PSA -CGC -BGS -graded -slab -proxy -custom</x:v>
      </x:c>
      <x:c r="G150" s="150" t="e">
        <x:f>HYPERLINK("https://www.ebay.co.uk/sch/i.html?_nkw="&amp;SUBSTITUTE(F150," ","+")&amp;"&amp;LH_Auction=1&amp;_sop=1","Open eBay auction search")</x:f>
      </x:c>
      <x:c r="H150" s="148" t="str">
        <x:v>Potential genuine auctions.</x:v>
      </x:c>
      <x:c r="I150" s="148" t="str">
        <x:v>“No reserve” can be marketing.</x:v>
      </x:c>
      <x:c r="J150" s="151" t="str">
        <x:v>Auction • Ending soonest • Raw-focused</x:v>
      </x:c>
    </x:row>
    <x:row r="151">
      <x:c r="A151" s="146" t="n">
        <x:v>144</x:v>
      </x:c>
      <x:c r="B151" s="147" t="n">
        <x:v>53</x:v>
      </x:c>
      <x:c r="C151" s="148" t="str">
        <x:v>Pokémon card 99p start</x:v>
      </x:c>
      <x:c r="D151" s="148" t="str">
        <x:v>Auction wording</x:v>
      </x:c>
      <x:c r="E151" s="149" t="str">
        <x:v>NO</x:v>
      </x:c>
      <x:c r="F151" s="149" t="str">
        <x:f>"pokemon card 99p start -PSA -CGC -BGS -graded -slab -proxy -custom"</x:f>
        <x:v>pokemon card 99p start -PSA -CGC -BGS -graded -slab -proxy -custom</x:v>
      </x:c>
      <x:c r="G151" s="150" t="e">
        <x:f>HYPERLINK("https://www.ebay.co.uk/sch/i.html?_nkw="&amp;SUBSTITUTE(F151," ","+")&amp;"&amp;LH_Auction=1&amp;_sop=1","Open eBay auction search")</x:f>
      </x:c>
      <x:c r="H151" s="148" t="str">
        <x:v>Finds low-start auctions.</x:v>
      </x:c>
      <x:c r="I151" s="148" t="str">
        <x:v>Final price may still be high.</x:v>
      </x:c>
      <x:c r="J151" s="151" t="str">
        <x:v>Auction • Ending soonest • Raw-focused</x:v>
      </x:c>
    </x:row>
    <x:row r="152">
      <x:c r="A152" s="146" t="n">
        <x:v>145</x:v>
      </x:c>
      <x:c r="B152" s="147" t="n">
        <x:v>53</x:v>
      </x:c>
      <x:c r="C152" s="148" t="str">
        <x:v>Pokémon card low start auction</x:v>
      </x:c>
      <x:c r="D152" s="148" t="str">
        <x:v>Auction wording</x:v>
      </x:c>
      <x:c r="E152" s="149" t="str">
        <x:v>NO</x:v>
      </x:c>
      <x:c r="F152" s="149" t="str">
        <x:f>"pokemon card low start auction -PSA -CGC -BGS -graded -slab -proxy -custom"</x:f>
        <x:v>pokemon card low start auction -PSA -CGC -BGS -graded -slab -proxy -custom</x:v>
      </x:c>
      <x:c r="G152" s="150" t="e">
        <x:f>HYPERLINK("https://www.ebay.co.uk/sch/i.html?_nkw="&amp;SUBSTITUTE(F152," ","+")&amp;"&amp;LH_Auction=1&amp;_sop=1","Open eBay auction search")</x:f>
      </x:c>
      <x:c r="H152" s="148" t="str">
        <x:v>Alternative low-start wording.</x:v>
      </x:c>
      <x:c r="I152" s="148" t="str">
        <x:v>Seller may use hidden postage.</x:v>
      </x:c>
      <x:c r="J152" s="151" t="str">
        <x:v>Auction • Ending soonest • Raw-focused</x:v>
      </x:c>
    </x:row>
    <x:row r="153">
      <x:c r="A153" s="146" t="n">
        <x:v>146</x:v>
      </x:c>
      <x:c r="B153" s="147" t="n">
        <x:v>52</x:v>
      </x:c>
      <x:c r="C153" s="148" t="str">
        <x:v>Pokémon card ends today</x:v>
      </x:c>
      <x:c r="D153" s="148" t="str">
        <x:v>Auction wording</x:v>
      </x:c>
      <x:c r="E153" s="149" t="str">
        <x:v>NO</x:v>
      </x:c>
      <x:c r="F153" s="149" t="str">
        <x:f>"pokemon card ends today -PSA -CGC -BGS -graded -slab -proxy -custom"</x:f>
        <x:v>pokemon card ends today -PSA -CGC -BGS -graded -slab -proxy -custom</x:v>
      </x:c>
      <x:c r="G153" s="150" t="e">
        <x:f>HYPERLINK("https://www.ebay.co.uk/sch/i.html?_nkw="&amp;SUBSTITUTE(F153," ","+")&amp;"&amp;LH_Auction=1&amp;_sop=1","Open eBay auction search")</x:f>
      </x:c>
      <x:c r="H153" s="148" t="str">
        <x:v>Useful manual sniping feed.</x:v>
      </x:c>
      <x:c r="I153" s="148" t="str">
        <x:v>Search wording may be sparse.</x:v>
      </x:c>
      <x:c r="J153" s="151" t="str">
        <x:v>Auction • Ending soonest • Raw-focused</x:v>
      </x:c>
    </x:row>
    <x:row r="154">
      <x:c r="A154" s="146" t="n">
        <x:v>147</x:v>
      </x:c>
      <x:c r="B154" s="147" t="n">
        <x:v>52</x:v>
      </x:c>
      <x:c r="C154" s="148" t="str">
        <x:v>Pokémon card ending soon auction</x:v>
      </x:c>
      <x:c r="D154" s="148" t="str">
        <x:v>Auction wording</x:v>
      </x:c>
      <x:c r="E154" s="149" t="str">
        <x:v>NO</x:v>
      </x:c>
      <x:c r="F154" s="149" t="str">
        <x:f>"pokemon card ending soon -PSA -CGC -BGS -graded -slab -proxy -custom"</x:f>
        <x:v>pokemon card ending soon -PSA -CGC -BGS -graded -slab -proxy -custom</x:v>
      </x:c>
      <x:c r="G154" s="150" t="e">
        <x:f>HYPERLINK("https://www.ebay.co.uk/sch/i.html?_nkw="&amp;SUBSTITUTE(F154," ","+")&amp;"&amp;LH_Auction=1&amp;_sop=1","Open eBay auction search")</x:f>
      </x:c>
      <x:c r="H154" s="148" t="str">
        <x:v>Directly targets closing auctions.</x:v>
      </x:c>
      <x:c r="I154" s="148" t="str">
        <x:v>eBay sort already handles this.</x:v>
      </x:c>
      <x:c r="J154" s="151" t="str">
        <x:v>Auction • Ending soonest • Raw-focused</x:v>
      </x:c>
    </x:row>
    <x:row r="155">
      <x:c r="A155" s="146" t="n">
        <x:v>148</x:v>
      </x:c>
      <x:c r="B155" s="147" t="n">
        <x:v>52</x:v>
      </x:c>
      <x:c r="C155" s="148" t="str">
        <x:v>Pokémon card clearance auction</x:v>
      </x:c>
      <x:c r="D155" s="148" t="str">
        <x:v>Auction wording</x:v>
      </x:c>
      <x:c r="E155" s="149" t="str">
        <x:v>NO</x:v>
      </x:c>
      <x:c r="F155" s="149" t="str">
        <x:f>"pokemon card clearance -PSA -CGC -BGS -graded -slab -proxy -custom"</x:f>
        <x:v>pokemon card clearance -PSA -CGC -BGS -graded -slab -proxy -custom</x:v>
      </x:c>
      <x:c r="G155" s="150" t="e">
        <x:f>HYPERLINK("https://www.ebay.co.uk/sch/i.html?_nkw="&amp;SUBSTITUTE(F155," ","+")&amp;"&amp;LH_Auction=1&amp;_sop=1","Open eBay auction search")</x:f>
      </x:c>
      <x:c r="H155" s="148" t="str">
        <x:v>Potential seller liquidation.</x:v>
      </x:c>
      <x:c r="I155" s="148" t="str">
        <x:v>May be low-quality stock.</x:v>
      </x:c>
      <x:c r="J155" s="151" t="str">
        <x:v>Auction • Ending soonest • Raw-focused</x:v>
      </x:c>
    </x:row>
    <x:row r="156">
      <x:c r="A156" s="146" t="n">
        <x:v>149</x:v>
      </x:c>
      <x:c r="B156" s="147" t="n">
        <x:v>51</x:v>
      </x:c>
      <x:c r="C156" s="148" t="str">
        <x:v>Pokémon card moving sale</x:v>
      </x:c>
      <x:c r="D156" s="148" t="str">
        <x:v>Story wording</x:v>
      </x:c>
      <x:c r="E156" s="149" t="str">
        <x:v>NO</x:v>
      </x:c>
      <x:c r="F156" s="149" t="str">
        <x:f>"pokemon card moving sale -PSA -CGC -BGS -graded -slab -proxy -custom"</x:f>
        <x:v>pokemon card moving sale -PSA -CGC -BGS -graded -slab -proxy -custom</x:v>
      </x:c>
      <x:c r="G156" s="150" t="e">
        <x:f>HYPERLINK("https://www.ebay.co.uk/sch/i.html?_nkw="&amp;SUBSTITUTE(F156," ","+")&amp;"&amp;LH_Auction=1&amp;_sop=1","Open eBay auction search")</x:f>
      </x:c>
      <x:c r="H156" s="148" t="str">
        <x:v>Non-specialist urgency wording.</x:v>
      </x:c>
      <x:c r="I156" s="148" t="str">
        <x:v>Can be fabricated.</x:v>
      </x:c>
      <x:c r="J156" s="151" t="str">
        <x:v>Auction • Ending soonest • Raw-focused</x:v>
      </x:c>
    </x:row>
    <x:row r="157">
      <x:c r="A157" s="152" t="n">
        <x:v>150</x:v>
      </x:c>
      <x:c r="B157" s="153" t="n">
        <x:v>51</x:v>
      </x:c>
      <x:c r="C157" s="154" t="str">
        <x:v>Pokémon card unwanted gift</x:v>
      </x:c>
      <x:c r="D157" s="154" t="str">
        <x:v>Story wording</x:v>
      </x:c>
      <x:c r="E157" s="155" t="str">
        <x:v>NO</x:v>
      </x:c>
      <x:c r="F157" s="155" t="str">
        <x:f>"pokemon card unwanted gift -PSA -CGC -BGS -graded -slab -proxy -custom"</x:f>
        <x:v>pokemon card unwanted gift -PSA -CGC -BGS -graded -slab -proxy -custom</x:v>
      </x:c>
      <x:c r="G157" s="156" t="e">
        <x:f>HYPERLINK("https://www.ebay.co.uk/sch/i.html?_nkw="&amp;SUBSTITUTE(F157," ","+")&amp;"&amp;LH_Auction=1&amp;_sop=1","Open eBay auction search")</x:f>
      </x:c>
      <x:c r="H157" s="154" t="str">
        <x:v>Potential casual seller listings.</x:v>
      </x:c>
      <x:c r="I157" s="154" t="str">
        <x:v>Often sealed modern product.</x:v>
      </x:c>
      <x:c r="J157" s="157" t="str">
        <x:v>Auction • Ending soonest • Raw-focused</x:v>
      </x:c>
    </x:row>
  </x:sheetData>
  <x:mergeCells>
    <x:mergeCell ref="A1:J1"/>
    <x:mergeCell ref="A2:J2"/>
  </x:mergeCells>
  <x:conditionalFormatting sqref="B8:B15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E8:E157">
    <x:cfRule type="expression" dxfId="10" priority="2">
      <x:formula>E8="YES"</x:formula>
    </x:cfRule>
    <x:cfRule type="expression" dxfId="11" priority="3">
      <x:formula>E8="NO"</x:formula>
    </x:cfRule>
  </x:conditionalFormatting>
  <x:conditionalFormatting sqref="A8:J157">
    <x:cfRule type="expression" dxfId="12" priority="4">
      <x:formula>$A8&lt;=25</x:formula>
    </x:cfRule>
    <x:cfRule type="expression" dxfId="13" priority="5">
      <x:formula>AND($A8&gt;25,$A8&lt;=75)</x:formula>
    </x:cfRule>
  </x:conditionalFormatting>
  <x:dataValidations count="1">
    <x:dataValidation type="textLength" operator="greaterThan" sqref="B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bdddd6394466e"/>
  </x:tableParts>
</x:worksheet>
</file>